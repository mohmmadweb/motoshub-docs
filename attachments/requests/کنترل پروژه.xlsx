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_norouzirad\Desktop\"/>
    </mc:Choice>
  </mc:AlternateContent>
  <bookViews>
    <workbookView xWindow="-120" yWindow="-120" windowWidth="20730" windowHeight="11160" activeTab="2"/>
  </bookViews>
  <sheets>
    <sheet name="طرح های در دست بررسی" sheetId="1" r:id="rId1"/>
    <sheet name="تبادل فناوری" sheetId="5" r:id="rId2"/>
    <sheet name="آموزشی-پژوهشی" sheetId="6" r:id="rId3"/>
    <sheet name="سندهای فرصت‌های تحقیق و توسعه" sheetId="4" r:id="rId4"/>
  </sheets>
  <definedNames>
    <definedName name="_xlnm._FilterDatabase" localSheetId="1" hidden="1">'تبادل فناوری'!$A$3:$AD$27</definedName>
    <definedName name="_xlnm._FilterDatabase" localSheetId="3" hidden="1">'سندهای فرصت‌های تحقیق و توسعه'!$B$2:$G$63</definedName>
    <definedName name="_xlnm._FilterDatabase" localSheetId="0" hidden="1">'طرح های در دست بررسی'!$A$4:$H$29</definedName>
    <definedName name="_xlnm.Print_Titles" localSheetId="1">'تبادل فناوری'!$3:$3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5" i="5" l="1"/>
  <c r="Y13" i="5"/>
  <c r="Y12" i="5"/>
  <c r="Y11" i="5"/>
  <c r="Y9" i="5"/>
  <c r="Y8" i="5"/>
  <c r="Y7" i="5"/>
  <c r="Y6" i="5"/>
  <c r="Y5" i="5"/>
  <c r="Y4" i="5"/>
  <c r="X26" i="5"/>
  <c r="X25" i="5"/>
  <c r="X24" i="5"/>
  <c r="X23" i="5"/>
  <c r="X22" i="5"/>
  <c r="X21" i="5"/>
  <c r="X20" i="5"/>
  <c r="X19" i="5"/>
  <c r="X18" i="5"/>
  <c r="X17" i="5"/>
  <c r="X16" i="5"/>
  <c r="X15" i="5"/>
  <c r="X13" i="5"/>
  <c r="X12" i="5"/>
  <c r="X11" i="5"/>
  <c r="X9" i="5"/>
  <c r="X8" i="5"/>
  <c r="X7" i="5"/>
  <c r="X6" i="5"/>
  <c r="X5" i="5"/>
  <c r="X4" i="5"/>
  <c r="Y16" i="5"/>
  <c r="Y18" i="5"/>
  <c r="Y19" i="5"/>
  <c r="Y20" i="5"/>
  <c r="Y21" i="5"/>
  <c r="Y22" i="5"/>
  <c r="Y23" i="5"/>
  <c r="Y24" i="5"/>
  <c r="Y25" i="5"/>
  <c r="Y26" i="5"/>
  <c r="U10" i="5"/>
  <c r="Y10" i="5" l="1"/>
  <c r="X10" i="5"/>
  <c r="U14" i="5"/>
  <c r="U27" i="5"/>
  <c r="R27" i="5"/>
  <c r="R26" i="5"/>
  <c r="R23" i="5"/>
  <c r="R22" i="5"/>
  <c r="R21" i="5"/>
  <c r="R18" i="5"/>
  <c r="X27" i="5" l="1"/>
  <c r="Y27" i="5"/>
  <c r="X14" i="5"/>
  <c r="Y14" i="5"/>
  <c r="P17" i="5"/>
  <c r="P16" i="5"/>
  <c r="P15" i="5"/>
  <c r="P14" i="5"/>
  <c r="P11" i="5"/>
  <c r="P10" i="5"/>
  <c r="P9" i="5"/>
  <c r="P8" i="5"/>
  <c r="P7" i="5"/>
  <c r="P6" i="5"/>
  <c r="P5" i="5"/>
  <c r="P4" i="5"/>
</calcChain>
</file>

<file path=xl/sharedStrings.xml><?xml version="1.0" encoding="utf-8"?>
<sst xmlns="http://schemas.openxmlformats.org/spreadsheetml/2006/main" count="658" uniqueCount="363">
  <si>
    <t>ردیف</t>
  </si>
  <si>
    <t>موضوع قرارداد</t>
  </si>
  <si>
    <t>شماره قرارداد</t>
  </si>
  <si>
    <t>شماره چک</t>
  </si>
  <si>
    <t>مدت قرارداد</t>
  </si>
  <si>
    <t>نوع ضمانت قراردادی</t>
  </si>
  <si>
    <t>تاریخ شروع پروژه</t>
  </si>
  <si>
    <t>تاریخ پایان پروژه</t>
  </si>
  <si>
    <t>زمانبندی پروژه</t>
  </si>
  <si>
    <t>اطلاعات مالی پروژه</t>
  </si>
  <si>
    <t>طرفین قرارداد</t>
  </si>
  <si>
    <t>شهر محل اجرای پروژه</t>
  </si>
  <si>
    <t>نوع قرارداد</t>
  </si>
  <si>
    <t>مشخصات پروژه</t>
  </si>
  <si>
    <t>موانع و مشکلات</t>
  </si>
  <si>
    <t xml:space="preserve">سایر توضیحات </t>
  </si>
  <si>
    <t>مجری پروژه</t>
  </si>
  <si>
    <t>پیوست ها</t>
  </si>
  <si>
    <t>ناظر فنی پروژه</t>
  </si>
  <si>
    <t>هلدینگ و شرکت متقاضی</t>
  </si>
  <si>
    <t>تاریخ واریزی</t>
  </si>
  <si>
    <t>تاریخ انعقاد قرارداد</t>
  </si>
  <si>
    <t>هلدینگ  متقاضی</t>
  </si>
  <si>
    <t xml:space="preserve"> شرکت متقاضی</t>
  </si>
  <si>
    <t>کد پروژه</t>
  </si>
  <si>
    <t>موضوع طرح</t>
  </si>
  <si>
    <t>مجری  
(در صورت انتخاب)</t>
  </si>
  <si>
    <t xml:space="preserve">اطلاعات طرفین </t>
  </si>
  <si>
    <t>شرکت</t>
  </si>
  <si>
    <t>هلدینگ</t>
  </si>
  <si>
    <t>درصد پیشرفت</t>
  </si>
  <si>
    <t>سایر توضیحات</t>
  </si>
  <si>
    <t>حفاری شمال</t>
  </si>
  <si>
    <t>انرژی سینا</t>
  </si>
  <si>
    <t>صنعتی دوده فام</t>
  </si>
  <si>
    <t>حمل و نقل سینا ریل</t>
  </si>
  <si>
    <t>پایاترابر</t>
  </si>
  <si>
    <t>تلیسه نمونه</t>
  </si>
  <si>
    <t>کشاورزی و دامپروری فردوس پارس</t>
  </si>
  <si>
    <t>کاشی پارس</t>
  </si>
  <si>
    <t>گسترش صنایع معدنی کاوه پارس</t>
  </si>
  <si>
    <t>پیوند گستر پارس (نیروگاه قم)</t>
  </si>
  <si>
    <t>صنایع برق و انرژی صبا</t>
  </si>
  <si>
    <t>حجاب شهرکرد</t>
  </si>
  <si>
    <t>سیاحتی و مراکز تفریحی پارسیان</t>
  </si>
  <si>
    <t>سیمان تهران</t>
  </si>
  <si>
    <t>شیشه و گاز (شوگا)</t>
  </si>
  <si>
    <t>صنایع غذایی سینا</t>
  </si>
  <si>
    <t>مالی و سرمایه گذاری سینا ICT</t>
  </si>
  <si>
    <t>بهگزین</t>
  </si>
  <si>
    <t>سرمایه گذاری توسعه اقتصاد پایدار سینا</t>
  </si>
  <si>
    <t>توسعه خدمات دریایی و بندری سینا</t>
  </si>
  <si>
    <t>ترابری بین المللی تهران</t>
  </si>
  <si>
    <t>نمایندگی های کشتیرانی</t>
  </si>
  <si>
    <t>انرژی گستر پارس (پدکس)</t>
  </si>
  <si>
    <t>پایندان</t>
  </si>
  <si>
    <t>نفت بهران</t>
  </si>
  <si>
    <t>قطران ذغال سنگ</t>
  </si>
  <si>
    <t>ایران تایر</t>
  </si>
  <si>
    <t>جنوب غرب صبا (نیروگاه خرمشهر)</t>
  </si>
  <si>
    <t>جنوب غرب صبا (نیروگاه زرگان اهواز)</t>
  </si>
  <si>
    <t>جنوب شرق صبا (نیروگاه چابهار)</t>
  </si>
  <si>
    <t>مولد نیروی خرم آباد (نیروگاه خرم آباد)</t>
  </si>
  <si>
    <t>تولید نیروی آذرخش (نیروگاه علی آباد)</t>
  </si>
  <si>
    <t>محیا</t>
  </si>
  <si>
    <t>مگسال</t>
  </si>
  <si>
    <t>دشت ناز ساری</t>
  </si>
  <si>
    <t>فجر اصفهان</t>
  </si>
  <si>
    <t>زاگرس شهرکرد</t>
  </si>
  <si>
    <t>سیرجان بنیاد</t>
  </si>
  <si>
    <t>عمران و مسکن اصفهان</t>
  </si>
  <si>
    <t>پایا سامان پارس</t>
  </si>
  <si>
    <t>دی</t>
  </si>
  <si>
    <t>خانه</t>
  </si>
  <si>
    <t>راه آهن شرقی بنیاد (بن ریل)</t>
  </si>
  <si>
    <t>سفرهای هوشمند ایوان</t>
  </si>
  <si>
    <t>مجموعه توچال</t>
  </si>
  <si>
    <t>هلدینگ بانک سینا</t>
  </si>
  <si>
    <t>بانک سینا</t>
  </si>
  <si>
    <t>به چین سامین</t>
  </si>
  <si>
    <t>دانه های روغنی خراسان</t>
  </si>
  <si>
    <t>سینا کاشی</t>
  </si>
  <si>
    <t>پاکدیس</t>
  </si>
  <si>
    <t>سیم و کابل تبریز (سیمکات)</t>
  </si>
  <si>
    <t>شهاب</t>
  </si>
  <si>
    <t>صنایع ماشین های الکتریکی جوین (جمکو)</t>
  </si>
  <si>
    <t>شرکت نشاسته و گلوکز ایران</t>
  </si>
  <si>
    <t>کشت و صنعت خاوردشت</t>
  </si>
  <si>
    <t>شهر صنعتی کاوه</t>
  </si>
  <si>
    <t>ملی ساختمان</t>
  </si>
  <si>
    <t>شهرسازی علوی</t>
  </si>
  <si>
    <t>سازمان اموال و املاک</t>
  </si>
  <si>
    <t>رامان</t>
  </si>
  <si>
    <t>فولاد کاوه جنوب</t>
  </si>
  <si>
    <t>آلومینیوم کاوه خوزستان</t>
  </si>
  <si>
    <t>مجموعه ورزشی شهید چمران</t>
  </si>
  <si>
    <t>گوشتیران</t>
  </si>
  <si>
    <t>بهنوش</t>
  </si>
  <si>
    <t>مجتمع بین المللی آیتو</t>
  </si>
  <si>
    <t>صنعتی دوده فام- نسخه2</t>
  </si>
  <si>
    <t/>
  </si>
  <si>
    <t xml:space="preserve">سند تدوین و تأیید و تحویل شده است. </t>
  </si>
  <si>
    <t>اولین ویرایش از سند ارائه شده است و درحال بررسی جهت تأیید یا اعلام نظر برای انجام اصلاحات و تکمیل است.</t>
  </si>
  <si>
    <t xml:space="preserve">بازدید صورت گرفته است و عناوین فرصت‌های تحقیق و توسعه‌ی شرکت درحال مطالعه و احصاء می‌باشد. </t>
  </si>
  <si>
    <t xml:space="preserve">پیش‌نویس نهایی سند ارائه شده است و در حال بررسی برای تأیید نهایی می‌باشد. </t>
  </si>
  <si>
    <t xml:space="preserve">عناوین فرصت‌های تحقیق و توسعه که احصاء شده است، در حال بررسی و اعلام نظر می‌باشد. </t>
  </si>
  <si>
    <t xml:space="preserve">عناوین فرصت‌های تحقیق و توسعه احصاء و تایید شده است و ویرایش اول سند درحال تدوین می‌باشد. </t>
  </si>
  <si>
    <t>استحصال فلزات با ارزش از پساب های صنعتی</t>
  </si>
  <si>
    <t>تولید کیت بومی سازی شده تشخیص سریع آنتی بیوتیک های بتالاکتام و تتراسایکلین ها در شیر</t>
  </si>
  <si>
    <t>ساخت، نصب و راه اندازی دستگاه مبارزه با رشد جلبک</t>
  </si>
  <si>
    <t xml:space="preserve">قرارداد پژوهشی شناسایی ویژگی های رشدی، فنولوژیک و کارایی گرده افشانی برخی از درختان نر پسته </t>
  </si>
  <si>
    <t>شبیه سازی عددی و فرآیندی راکتور تولید پیچ قطرانی</t>
  </si>
  <si>
    <t>توسعه و پشتیبانی نرم‌افزار ثبت فعالیت‌های کشاورزی (نرم افزار جریب)</t>
  </si>
  <si>
    <t>قرارداد فروش و واگذاری حق بهره‌برداری سامانه رصد و پایش زراعی همراه با تجهیزات جانبی</t>
  </si>
  <si>
    <t>مشارکت در سرمایه‌گذاری در زمینه‌های داده محور لجستیکی و انجام فعالیت‌های تجاری و کسب درآمد</t>
  </si>
  <si>
    <t>ساخت کوره عملیات حرارتی نیروگاهی</t>
  </si>
  <si>
    <t>طراحی، تأمین و ساخت واحدهای مسکونی شهر میلاجرد</t>
  </si>
  <si>
    <t xml:space="preserve"> خرید تجهیزات فناورانه مبارزه با سرمازدگی و اعطای امتیاز بهره برداری از فناوری به صورت محدود</t>
  </si>
  <si>
    <t>طراحی فرمولاسیون واکسن نسل سوم پیشگیری از اسهال گاوی</t>
  </si>
  <si>
    <t>قرارداد طراحی و ساخت پهپاد کشاورزی به منظور پایش، اندازه گیری، ارزیابی و کنترل</t>
  </si>
  <si>
    <t>نصب و راه اندازی سیستم انبارداری هوشمند مبتنی بر UWB</t>
  </si>
  <si>
    <t>طراحی ، ساخت، تحویل‌دهی و نصب یک دستگاه اینترمیکس</t>
  </si>
  <si>
    <t>طراحی، ساخت دستگاه کنترل و بازرسی گرم خط تولید بطری شیشه</t>
  </si>
  <si>
    <t>قرارداد خرید چهار دستگاه سامانه ضد سرمازدگی به همراه یک دستگاه بادران 45000</t>
  </si>
  <si>
    <t>قراردادطراحی و ساخت دستگاه سیار  فراورش  نفت (MOT)</t>
  </si>
  <si>
    <t>طراحی و ساخت دو دستگاه تصفیه پساب بهداشتی برای دکل خشکی</t>
  </si>
  <si>
    <t>ساخت دستگاه اندازه گیری حجم واگن های مخزنی با استفاده از لیدار</t>
  </si>
  <si>
    <t>سنتز TCP برای استفاده در فرمولاسیون روغن‌ها</t>
  </si>
  <si>
    <t xml:space="preserve">ساخت 3000 فیلتر سوخت و روغن کاترپیلار   </t>
  </si>
  <si>
    <t>طراحی و ساخت سه دستگاه ربات پالتایزر</t>
  </si>
  <si>
    <t>تهران</t>
  </si>
  <si>
    <t>بینالود</t>
  </si>
  <si>
    <t xml:space="preserve">اصفهان </t>
  </si>
  <si>
    <t>اردستان</t>
  </si>
  <si>
    <t>سیرجان</t>
  </si>
  <si>
    <t>خرمشهر</t>
  </si>
  <si>
    <t>میلاجرد</t>
  </si>
  <si>
    <t>ساری</t>
  </si>
  <si>
    <t>تهران / آبعلی  / شیروان / شهرکرد / خرمشهر / گچساران</t>
  </si>
  <si>
    <t>شازند</t>
  </si>
  <si>
    <t>خوزستان</t>
  </si>
  <si>
    <t xml:space="preserve">پلتفرم در حال توسعه می باشد و سرویس ها حدود 30 درصد پیشر فت دارند.  </t>
  </si>
  <si>
    <t>درخواست اختتام قرارداد توسط کارفرما</t>
  </si>
  <si>
    <t>درخواست فسخ قرارداد توسط کارفرما</t>
  </si>
  <si>
    <t>نصب در تمام واحد ها به پایان رسیده است
عدم درخواست شرکت بهنوش جهت دریافت سهم دانشمند</t>
  </si>
  <si>
    <t>مجری مدعی است پروژه تکمیل شده اما مورد تایید کارفرما نمی باشد. ایرادات کارفرما واصل شده است. نیازمند پیگیری دانشمند جهت حل و فصل ایرادات کارفرما و نصب نهایی تجهیزات و بهره برداری می باشد.</t>
  </si>
  <si>
    <t>طبق نامه 1404/1/3972 مورخ 1404/07/08 هلدینگ غذایی سینا خواستار عودت دستگاه و وجوه پرداختی می‌باشد</t>
  </si>
  <si>
    <t>ساخت، استقرار و راه‌اندازی دستگاه در محل شرکت کارفرما انجام شده است. 
دستگاه بر روی خط تولید نصب است و فرایند یادگیری ماشین (machine learning ) انجام شده و در مرحله تست است. 
و همچنین مطابق جلسه با طرفین قرارداد مقرر شد الحاقیه قرارداد تنظیم و دستگاه تا 30 مهر تحویل شود</t>
  </si>
  <si>
    <t>تجهیزات به شرکت بنیادی منتقل شده است و در حال نصب و راه اندازی پروژه می‌باشد
با توجه به پیگیری های صورت گرفته، فناور با توجه به مشکلات شخصی درخواست اعطای زمان جهت نصب و راه اندازی پروژه را دارد.</t>
  </si>
  <si>
    <t xml:space="preserve"> پیگیری حقوقی وضعیت پروژه از طرف مدیرعامل محترم به معاونت تحول اداری و پشتیبانی جناب آقای حسینی واگذار شده است.</t>
  </si>
  <si>
    <t xml:space="preserve"> مبلغ 850 میلیون تومان بابت دستگاه دوم که مطالبه شرکت فناور بود بعلت عدم ایفای تعهدات شرکت حفاری شمال، توسط موسسه دانشمند پرداخت شد.  دستگاه اول تحویل شده اما همچنان اجازه نصب از طرف شرکت حفاری شمال به شرکت فناور داده نشده است. دستگاه دوم نیز پیشرفت 40 درصدی دارد. در کل پیشرفت پروژه کان لم یکن باقی مانده است.</t>
  </si>
  <si>
    <t>تست های اسکن اولیه و بهبود الگوریتم های پردازشی انجام شده است. ساخت و مونتاژ بخش مکانیک سطح‌سنج و کالیبراسیون نهایی دستگاه و انجام تست‌های نهایی باقی مانده است.</t>
  </si>
  <si>
    <t>فاز مطالعاتی، تحقیقاتی و آزمایشگاهی پروژه انجام شده است.
دانشمند یک قسط سهم حمایتی خود را واریز کرده است. پیرو درخواست شرکت مبنی بر افزایش 25 درصدی رقم کل قرارداد، در انتظار دریافت گزارش پیشرفت و درخواست پرداخت اقساط دوم هستیم.</t>
  </si>
  <si>
    <t>طبق آخرین پیگیری ،فاز آزمایشگاهی و ساخت نمونه ها پایان یافته است. یک سری نمونه ارسال شده است و بعلت مشکل در واشر فیلتر برگشت داده شده است. مبلغ پرداختی دانشمند شامل نیمی از مبلغ پیش پرداخت مطابق با قرارداد است که طی مراحل بعدی پرداخت های بعدی تا سقف 50 درصد مبلغ قرارداد باید انجام شود.</t>
  </si>
  <si>
    <t>حسب پیگیری های انجام شده، نهایتا با برگزاری جلسات با فناور و بهره بردار، فناور متعهد شد تا تاریخ 1404/12/14 یک دستگاه از سه دستگاه را تکمیل و تحویل و نصب کند.</t>
  </si>
  <si>
    <t>نامحدود</t>
  </si>
  <si>
    <t>1404/04/17</t>
  </si>
  <si>
    <t>1404/02/14</t>
  </si>
  <si>
    <t>1404/04/29</t>
  </si>
  <si>
    <t>1404/02/30</t>
  </si>
  <si>
    <t>1404/06/05</t>
  </si>
  <si>
    <t>1404/08/13</t>
  </si>
  <si>
    <t>1404/05/10</t>
  </si>
  <si>
    <t>1404/07/14</t>
  </si>
  <si>
    <t>1404/06/26</t>
  </si>
  <si>
    <t>1404/07/01</t>
  </si>
  <si>
    <t>1397/07/11</t>
  </si>
  <si>
    <t>1399/05/28</t>
  </si>
  <si>
    <t>1400/08/10</t>
  </si>
  <si>
    <t>1. عدم تعهد مالی شرکت پاک به قرارداد
2. افزایش قیمت ارز
3. هزینه تاخیرات که بر عهده شرکت پاک می‌باشد</t>
  </si>
  <si>
    <t>1. تیم نوپا ( برای صندوق باور)
2. استفاده اولین بار این محصول در استخر پرورش ماهی
3. نوسانات مکرر برق
4. از دست دادن پیک گرمایی تابستان</t>
  </si>
  <si>
    <t>نقش شرکت متقاضی</t>
  </si>
  <si>
    <t>نقش دانشمند</t>
  </si>
  <si>
    <t>تبادل فناوری</t>
  </si>
  <si>
    <t>پ/99/28/9351</t>
  </si>
  <si>
    <t>پایاصنعت اهواز</t>
  </si>
  <si>
    <t>کارفرما</t>
  </si>
  <si>
    <t>ناظر و هماهنگ کننده</t>
  </si>
  <si>
    <t>1399/12/23</t>
  </si>
  <si>
    <t>(نیازمند استعلام از واحد مالی)</t>
  </si>
  <si>
    <t>نیازمند استعلام پرداخت‌ها از واحد اداری و مالی</t>
  </si>
  <si>
    <t>ح ش 31943</t>
  </si>
  <si>
    <t>آسا فن</t>
  </si>
  <si>
    <t>ناظر  و هماهنگ کننده</t>
  </si>
  <si>
    <t>1401/08/01</t>
  </si>
  <si>
    <t>ف ن 001/1001</t>
  </si>
  <si>
    <t>پایا ترابر</t>
  </si>
  <si>
    <t>سینا ریل پارس</t>
  </si>
  <si>
    <t>توسعه ارتباطات نصیر</t>
  </si>
  <si>
    <t>-</t>
  </si>
  <si>
    <t>1401/12/24</t>
  </si>
  <si>
    <t>1402/01/01</t>
  </si>
  <si>
    <t>402-1086</t>
  </si>
  <si>
    <t>دکتر ثباتی</t>
  </si>
  <si>
    <t>زیست فناوران آرامیس</t>
  </si>
  <si>
    <t>هماهنگ کننده</t>
  </si>
  <si>
    <t>1402/04/24</t>
  </si>
  <si>
    <t>ح ش32039</t>
  </si>
  <si>
    <t>آزاد فیلتر</t>
  </si>
  <si>
    <t>1402/08/01</t>
  </si>
  <si>
    <t>۶۳۸۶/283</t>
  </si>
  <si>
    <t>شکور شکوری</t>
  </si>
  <si>
    <t xml:space="preserve">صنعتی دوده فام </t>
  </si>
  <si>
    <t>پیشروان توسعه ماشین سازی کوشا</t>
  </si>
  <si>
    <t>1402/12/8</t>
  </si>
  <si>
    <t xml:space="preserve">منتظر اعلام ناظر از طرف شرکت بنیاد به عنوان بهره‌بردار می‌باشد. </t>
  </si>
  <si>
    <t xml:space="preserve">دانشگاه صنعتی قوچان </t>
  </si>
  <si>
    <t>1404/06/23</t>
  </si>
  <si>
    <t>ناظر مالی و هماهنگ کننده</t>
  </si>
  <si>
    <t>هماهنگ کننده مالی</t>
  </si>
  <si>
    <t xml:space="preserve"> -</t>
  </si>
  <si>
    <t>8 فاز متوالی پیوست قرارداد</t>
  </si>
  <si>
    <t>منطقه 1 آزادراه تهران-شمال</t>
  </si>
  <si>
    <t>پیمانکار</t>
  </si>
  <si>
    <t>1401/09/10</t>
  </si>
  <si>
    <t>خریدار</t>
  </si>
  <si>
    <t>دکتر حاجی احمد</t>
  </si>
  <si>
    <t>دکتر تهرانی فر</t>
  </si>
  <si>
    <t>مهندس صادقی</t>
  </si>
  <si>
    <t>دکتر میرحاجی</t>
  </si>
  <si>
    <t>در حال تصمیم گیری مدیریتی</t>
  </si>
  <si>
    <t>بهره‌بردار و ناظر</t>
  </si>
  <si>
    <t>6386/22150</t>
  </si>
  <si>
    <t xml:space="preserve">فجر اصفهان </t>
  </si>
  <si>
    <t>شرکت نفیس تدبیر هوشمند</t>
  </si>
  <si>
    <t>1396/12/19</t>
  </si>
  <si>
    <t>40/6/13/15/1432</t>
  </si>
  <si>
    <t>کشت و دام قیام اصفهان</t>
  </si>
  <si>
    <t>دانشگاه تهران (پردیس کشاورزی و منابع طبیعی)</t>
  </si>
  <si>
    <t>53/165/4040</t>
  </si>
  <si>
    <t>000810-01-01</t>
  </si>
  <si>
    <t>بهنوش ایران</t>
  </si>
  <si>
    <t>شبکه اشیاء هوشمند انجیر</t>
  </si>
  <si>
    <t>مؤسسه تحقیق و توسعه دانشمند</t>
  </si>
  <si>
    <t>توسعه ارتباط و فن‏آوری صدرا</t>
  </si>
  <si>
    <t>01/1120</t>
  </si>
  <si>
    <t>ماشین سازی کوشا</t>
  </si>
  <si>
    <t>1401/06/29</t>
  </si>
  <si>
    <t>/001/0111 س ه</t>
  </si>
  <si>
    <t>شیشه و گاز</t>
  </si>
  <si>
    <t>سامانه هوشمند بصیر برزین</t>
  </si>
  <si>
    <t>1401/09/09</t>
  </si>
  <si>
    <t>40/6/13/23/1426</t>
  </si>
  <si>
    <t>کشاورزی باغبان</t>
  </si>
  <si>
    <t>1402/05/23</t>
  </si>
  <si>
    <t>6386/407</t>
  </si>
  <si>
    <t>معاونت پزوهشی دانشگاه صنعتی شریف</t>
  </si>
  <si>
    <t>تارا ترابرنت</t>
  </si>
  <si>
    <t>6386/606</t>
  </si>
  <si>
    <t>لبنیات پاک</t>
  </si>
  <si>
    <t>فرتاک طب</t>
  </si>
  <si>
    <t>1404/02/28</t>
  </si>
  <si>
    <t>6386/402</t>
  </si>
  <si>
    <t>تیم فراموج (از صندوق باور)</t>
  </si>
  <si>
    <t>6386/807</t>
  </si>
  <si>
    <t>بینالود نیشاپور</t>
  </si>
  <si>
    <t>دانشگاه فردوسی مشهد</t>
  </si>
  <si>
    <t>1404/03/11</t>
  </si>
  <si>
    <t>6386/1659</t>
  </si>
  <si>
    <t xml:space="preserve">شرکت داده پردازی اطلاعات آینده هوشمند جهان </t>
  </si>
  <si>
    <t>6386/1658</t>
  </si>
  <si>
    <t>برنا اندیش پاز</t>
  </si>
  <si>
    <t>6386/1733</t>
  </si>
  <si>
    <t>6386/2082</t>
  </si>
  <si>
    <t>برق و انرژی صبا</t>
  </si>
  <si>
    <t>بهره‌بردای و تعمیرات نیروگاهی صبا</t>
  </si>
  <si>
    <t>شیر سبز صنعتی سیال‌بند شمال</t>
  </si>
  <si>
    <t>1404/07/15</t>
  </si>
  <si>
    <t>6386/1978</t>
  </si>
  <si>
    <t>مهندسین و مشاوره آتیه‌سازان اسپو</t>
  </si>
  <si>
    <t>بهره‌بردار و کارفرما</t>
  </si>
  <si>
    <t>بهره‌بردار</t>
  </si>
  <si>
    <t>طرف دوم (سرمایه‌گذار)</t>
  </si>
  <si>
    <t>طرف اول (سرمایه‌گذار، بهره‌بردار و همکار مجری)</t>
  </si>
  <si>
    <t>چک</t>
  </si>
  <si>
    <t>2 سفته به کارفرما</t>
  </si>
  <si>
    <t xml:space="preserve"> خرید، حمل و نصب و راه اندازی سیستم تشخیص اتوماتیک حوادث منطقه یک آزادراه تهران - شمال-2</t>
  </si>
  <si>
    <t>ستاد بنیاد</t>
  </si>
  <si>
    <t>آزادراه تهران شمال</t>
  </si>
  <si>
    <t xml:space="preserve">طی دو قرارداد مجزا، موسسه دانشمند پیمانکار شرکت بنیاد و کارفرمای شرکت فناور می‌باشد. </t>
  </si>
  <si>
    <t>1401/01/24 
و 
1400/12/01</t>
  </si>
  <si>
    <t>ضمانتنامه مورد قبول کارفرما هر قرارداد</t>
  </si>
  <si>
    <t>3.5224953980 (شرکت فناور به دانشمند)
 و 
3.6224953980 (موسسه دانشمند به شرکت بنیاد)</t>
  </si>
  <si>
    <t>ضمانتامه بانکی</t>
  </si>
  <si>
    <t>نقد یا ضمانتنامه بانکی از بانک مورد تأیید کارفرما</t>
  </si>
  <si>
    <t>2 ضمانتامه معتبر</t>
  </si>
  <si>
    <t>15.25 (بابت پیشپرداخت) + 3.05 (بابت حسن انجام کار)</t>
  </si>
  <si>
    <t>6.3 (بابت پیشپرداخت) + 1.26 (بابت حسن انجام کار)</t>
  </si>
  <si>
    <t>2.68 (بابت پیشپرداخت) + 0.335 (بابت حسن انجام کار)</t>
  </si>
  <si>
    <t>1.01298 (بابت پیشپرداخت) + 1.94865 (بابت حسن انجام کار)</t>
  </si>
  <si>
    <t>ضمانتنامه معتبر بانکی (و مورد تأیید کارفرما)</t>
  </si>
  <si>
    <t>8.7 (بابت پیشپرداخت) + 0.87 (بابت حسن انجام کار)</t>
  </si>
  <si>
    <t>ضمانتنامه معتبر بانکی</t>
  </si>
  <si>
    <t>62.425 (بابت پیشپرداخت) + 12.485 (بابت حسن انجام کار)</t>
  </si>
  <si>
    <t>چک/سفته</t>
  </si>
  <si>
    <t>سفته</t>
  </si>
  <si>
    <t>ضمانتنامه اداری</t>
  </si>
  <si>
    <t xml:space="preserve">مستندات مالی و مکاتبات اداری نیازمند تکمیل است فلذا با اینکه حداکثر داده از همکاران شبکه تحقیق و توسعه و اطلاعات سابق واحد اداری و مالی مورد استفاده قرار گرفت است ولی مبالغ درج شده با تکمیل مستندات، تکمیل و تأیید خواهد شد. </t>
  </si>
  <si>
    <t>مبلغ قرارداد
(میلیارد ریال)</t>
  </si>
  <si>
    <t>فهرست طرح های در دست بررسی- معاونت برنامه‌ریزی و توسعه فناوری</t>
  </si>
  <si>
    <t>میزان ضمانت
(میلیارد ریال)</t>
  </si>
  <si>
    <t>مانده تعهد
(میلیارد ریال)</t>
  </si>
  <si>
    <t>مبلغ واریزی
(میلیارد ریال)</t>
  </si>
  <si>
    <t>تعهد دانشمند
(میلیارد ریال)</t>
  </si>
  <si>
    <t xml:space="preserve"> درصد پیشرفت مالی (%)</t>
  </si>
  <si>
    <t xml:space="preserve"> درصد پیشرفت زمانی (%)</t>
  </si>
  <si>
    <t>درصد پیشرفت فیزیکی (%)</t>
  </si>
  <si>
    <t>فلات شرق پارثاوا</t>
  </si>
  <si>
    <t>ارم سبز</t>
  </si>
  <si>
    <t>1404/09/04</t>
  </si>
  <si>
    <t>فیش</t>
  </si>
  <si>
    <t xml:space="preserve">ضمانتنامه دانشگاهی </t>
  </si>
  <si>
    <t>چک و ضمانتنامه بانکی</t>
  </si>
  <si>
    <t>1404/08/13
1404/09/04</t>
  </si>
  <si>
    <t>فیش
فیش</t>
  </si>
  <si>
    <t>426799
496967</t>
  </si>
  <si>
    <t>6386/1660</t>
  </si>
  <si>
    <t>1404/09/10</t>
  </si>
  <si>
    <t>چک (مطابق قرارداد)</t>
  </si>
  <si>
    <t>2.1 (مطابق قرارداد)</t>
  </si>
  <si>
    <t>نامه ضمانت (مطابق قرارداد)</t>
  </si>
  <si>
    <t>0.7  (مطابق قرارداد)</t>
  </si>
  <si>
    <t>1.57872  (مطابق قرارداد)</t>
  </si>
  <si>
    <t>چک  (مطابق قرارداد)</t>
  </si>
  <si>
    <t>17 + 68  (مطابق قرارداد)</t>
  </si>
  <si>
    <t>1399/11/27</t>
  </si>
  <si>
    <t>1400/04/15</t>
  </si>
  <si>
    <t>زمزم</t>
  </si>
  <si>
    <t>پردیس موزه ای دفینه</t>
  </si>
  <si>
    <t>1404/09/15</t>
  </si>
  <si>
    <t>موزه خودروهای تاریخی ایران</t>
  </si>
  <si>
    <t>شیمی دارو کوثر</t>
  </si>
  <si>
    <t>سرمایه گذاری کشاورزی کوثر</t>
  </si>
  <si>
    <t xml:space="preserve">پروژه در حال پیشرفت و انجام است.
داده‌های مربوط به موازنه ی جرم و انرژی راکتور در دسترس شرکت بهره بردار نبوده و به همین دلیل شبیه سازی مختصری برای حصول این داده توسط فناور انجام خواهد شد که احتمالا منجر به تمدید دوماهه ی زمان اتمام قرارداد خواهد شد. البته شرکت قطران مبلغ افزایش هزینه احتمالی را اقرار نموده است که متقبل نخواهد شد.  لازم به ذکر است افزایش زمان و هزینه ناشی از عدم ارائه داده مورد نیاز از شرکت قطران به پروژه تحمیل خواهد شد. </t>
  </si>
  <si>
    <t>سیمان گیلان سبز</t>
  </si>
  <si>
    <t xml:space="preserve">سند اولیه بررسی شد و نقطه نظراتی جهت اعمال بر روی سند اعلام گردید. تیم تاثریا درحال انجام اصلاحات سند می‌باشد. </t>
  </si>
  <si>
    <t>دو دستگاه در محل استخر پرورش ماهی نصب گردیده و در مرحله تست نهایی می‌باشد،بعلت عدم آزمایش و تست نهایی در پیک گرمایی که منجر به افزایش تولید جلبک می‌شود. شرکت فناور خواستار الحاقیه زمانی تا شهریور 1405 می‌باشد.</t>
  </si>
  <si>
    <t xml:space="preserve">  03/16629/آ  و  6386/36853</t>
  </si>
  <si>
    <t>پروژه درحال اجرا می‌باشد (طراحی، خاکبرداری، دیوار پیرامونی محوطه و بلوکها، بلوک‌چینی واحدها و اجرای سازه)</t>
  </si>
  <si>
    <t xml:space="preserve">تمامی 20هزار عدد کیت تشخیص سریع آنتی‌بیوتیک‌های بتالاکتام و تتراسایکلین تحویل داده شده است.  تعهد حمایتی دانشمند پرداخت شده است و تسویه مانده پرداخت در تعهد شرکت پاک به فناور درحال پیگیری می‌باشد. </t>
  </si>
  <si>
    <t xml:space="preserve">درختان مورد نظر شناسایی و نمونه‌گیری گرده انجام شده است. آزمایش‌های اولیه بر روی خصوصیات دانه گرده تکمیل گردیده و بررسی‌های فیزیولوژیکی و بیوشیمیایی انجام شده است.
تعهد حمایت 50% دانشمند از پیش‌پرداخت قرارداد به شرکت بینالود درحال پرداخت می‌باشد. همچنین مطابق پیشرفت پروژه، پیشبینی می‌شود پرداخت مرحله دوم قرارداد طی ماه آتی انجام شود. </t>
  </si>
  <si>
    <t>حساب کاربری راه اندازی شده است و نرم افزار jereeb work بر روی گوشی کارگران نصب گردیده است. دوره راه‌اندازی اولیه ازجمله موارد ذیل شروع شده است: ثبت زمان شروع و پایان کار، مشاهده مستقیم وظایف در نرم افزار، صفحه زنده رصد فعالیت‌ها و نقشه زنده موقعیت، امکان ثبت شماره ردیفها، کارگروهی و کار همزمان بین زمینها، تولید گزارشات تجمیعی و تحلیلی خودکار و لحظه ای</t>
  </si>
  <si>
    <t>تمام تجهیزات از جمله 113 عدد دستگاه و سرور خریداری و آماده شد و بر روی 70 عدد تراکتور نصب گردید و بر روی ماشینهای سواری و نقلیه درحال نصب می‌باشد. نقشه تمام باغات ترسیم و بروی سامانه بارگذاری شده است.</t>
  </si>
  <si>
    <t>عدم هماهنگی هلدینگ با شرکتها برای معرفی مکانهای نمونه‌برداری</t>
  </si>
  <si>
    <t>در حال  پیگیری نمونه‌برداری و آزمایش از دو نقطه ابلاغ شده</t>
  </si>
  <si>
    <t xml:space="preserve">مجری یک گزارش ماهانه ارسال کرده است. اولین سری از تجهیزات به سایت بهره‌بردار ارسال شد و ساخت استراکچر و مشعل و رکوپراتور انجام گردید. </t>
  </si>
  <si>
    <t>1هفته(تحویل) + 1سال(گارانتی) + 9 سال (خدمات)</t>
  </si>
  <si>
    <t>1402/07/01
1403/12/06</t>
  </si>
  <si>
    <t>چک 269264
فیش 7393613</t>
  </si>
  <si>
    <t>1402/08/24</t>
  </si>
  <si>
    <t>فیش30722698</t>
  </si>
  <si>
    <t>آموزشی-پژوهشی</t>
  </si>
  <si>
    <t>برنامه جامع آموزش مفاهیم عمومی و مهارت های پایه هوش مصنوعی</t>
  </si>
  <si>
    <t>توسعه اندیشان پایدار ارتباطات سلولی (ایرانسل لبز)</t>
  </si>
  <si>
    <t>1404/08/15</t>
  </si>
  <si>
    <t>1405/07/15</t>
  </si>
  <si>
    <t>12 ماه</t>
  </si>
  <si>
    <t>1404/11/06</t>
  </si>
  <si>
    <t>مجتبی سروش پور</t>
  </si>
  <si>
    <t>بهره بردار</t>
  </si>
  <si>
    <t>هلدینگ تحقیق و توسعه دانشمند</t>
  </si>
  <si>
    <t xml:space="preserve"> محل اجرای پروژه</t>
  </si>
  <si>
    <t>پروژه ملی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</si>
</sst>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0_-&quot;ماه&quot;;#,##0\-&quot;ماه&quot;"/>
    <numFmt numFmtId="166" formatCode="0.000000"/>
    <numFmt numFmtId="167" formatCode="0.0"/>
  </numFmts>
  <fonts count="17" x14ac:knownFonts="1">
    <font>
      <sz val="11"/>
      <color theme="1"/>
      <name val="Calibri"/>
      <family val="2"/>
      <charset val="178"/>
      <scheme val="minor"/>
    </font>
    <font>
      <sz val="11"/>
      <color theme="1"/>
      <name val="Calibri"/>
      <family val="2"/>
      <scheme val="minor"/>
    </font>
    <font>
      <b/>
      <sz val="11"/>
      <color theme="1"/>
      <name val="B Nazanin"/>
      <charset val="178"/>
    </font>
    <font>
      <b/>
      <sz val="16"/>
      <color theme="1"/>
      <name val="B Nazanin"/>
      <charset val="178"/>
    </font>
    <font>
      <sz val="11"/>
      <color theme="1"/>
      <name val="Calibri"/>
      <family val="2"/>
      <charset val="178"/>
      <scheme val="minor"/>
    </font>
    <font>
      <b/>
      <sz val="9"/>
      <name val="B Mitra"/>
      <charset val="178"/>
    </font>
    <font>
      <sz val="11"/>
      <color theme="1"/>
      <name val="B Mitra"/>
      <charset val="178"/>
    </font>
    <font>
      <sz val="9"/>
      <color theme="1"/>
      <name val="B Mitra"/>
      <charset val="178"/>
    </font>
    <font>
      <sz val="9"/>
      <name val="B Mitra"/>
      <charset val="178"/>
    </font>
    <font>
      <sz val="12"/>
      <name val="B Mitra"/>
      <charset val="178"/>
    </font>
    <font>
      <b/>
      <sz val="12"/>
      <name val="B Mitra"/>
      <charset val="178"/>
    </font>
    <font>
      <sz val="11"/>
      <name val="B Mitra"/>
      <charset val="178"/>
    </font>
    <font>
      <sz val="14"/>
      <name val="B Mitra"/>
      <charset val="178"/>
    </font>
    <font>
      <b/>
      <sz val="12"/>
      <color theme="1"/>
      <name val="B Nazanin"/>
      <charset val="178"/>
    </font>
    <font>
      <i/>
      <sz val="12"/>
      <name val="B Mitra"/>
      <charset val="178"/>
    </font>
    <font>
      <i/>
      <sz val="11"/>
      <name val="B Mitra"/>
      <charset val="178"/>
    </font>
    <font>
      <sz val="12"/>
      <color rgb="FFFF0000"/>
      <name val="B Mitra"/>
      <charset val="178"/>
    </font>
  </fonts>
  <fills count="3">
    <fill>
      <patternFill patternType="none"/>
    </fill>
    <fill>
      <patternFill patternType="gray125"/>
    </fill>
    <fill>
      <patternFill patternType="solid">
        <fgColor theme="9"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6">
    <xf numFmtId="0" fontId="0" fillId="0" borderId="0"/>
    <xf numFmtId="164" fontId="4" fillId="0" borderId="0" applyFont="0" applyFill="0" applyBorder="0" applyAlignment="0" applyProtection="0"/>
    <xf numFmtId="9" fontId="4"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cellStyleXfs>
  <cellXfs count="127">
    <xf numFmtId="0" fontId="0" fillId="0" borderId="0" xfId="0"/>
    <xf numFmtId="0" fontId="7" fillId="0" borderId="0" xfId="0" applyFont="1" applyAlignment="1">
      <alignment horizontal="center" vertical="center" wrapText="1"/>
    </xf>
    <xf numFmtId="9" fontId="7" fillId="0" borderId="0" xfId="2" applyFont="1" applyAlignment="1">
      <alignment horizontal="center" vertical="center" wrapText="1"/>
    </xf>
    <xf numFmtId="9" fontId="8" fillId="0" borderId="1" xfId="2" applyFont="1" applyFill="1" applyBorder="1" applyAlignment="1" applyProtection="1">
      <alignment horizontal="center" vertical="center" wrapText="1" readingOrder="2"/>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readingOrder="2"/>
    </xf>
    <xf numFmtId="9" fontId="7" fillId="0" borderId="1" xfId="2" applyFont="1" applyBorder="1" applyAlignment="1">
      <alignment horizontal="center" vertical="center" wrapText="1"/>
    </xf>
    <xf numFmtId="0" fontId="7" fillId="2" borderId="3" xfId="0" applyFont="1" applyFill="1" applyBorder="1" applyAlignment="1">
      <alignment horizontal="center" vertical="center" wrapText="1"/>
    </xf>
    <xf numFmtId="0" fontId="5" fillId="2" borderId="4" xfId="0" applyFont="1" applyFill="1" applyBorder="1" applyAlignment="1">
      <alignment horizontal="center" vertical="center" wrapText="1" readingOrder="2"/>
    </xf>
    <xf numFmtId="9" fontId="5" fillId="2" borderId="4" xfId="2" applyFont="1" applyFill="1" applyBorder="1" applyAlignment="1">
      <alignment horizontal="center" vertical="center" wrapText="1" readingOrder="2"/>
    </xf>
    <xf numFmtId="0" fontId="5" fillId="2" borderId="5" xfId="0" applyFont="1" applyFill="1" applyBorder="1" applyAlignment="1">
      <alignment horizontal="center" vertical="center" wrapText="1" readingOrder="2"/>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9" fontId="7" fillId="0" borderId="9" xfId="2" applyFont="1" applyBorder="1" applyAlignment="1">
      <alignment horizontal="center" vertical="center" wrapText="1"/>
    </xf>
    <xf numFmtId="0" fontId="7" fillId="0" borderId="10" xfId="0" applyFont="1" applyBorder="1" applyAlignment="1">
      <alignment horizontal="center" vertical="center" wrapText="1"/>
    </xf>
    <xf numFmtId="0" fontId="6" fillId="0" borderId="0" xfId="0" applyFont="1" applyAlignment="1">
      <alignment horizontal="center" vertical="center"/>
    </xf>
    <xf numFmtId="0" fontId="2" fillId="0" borderId="0" xfId="0" applyFont="1" applyAlignment="1">
      <alignment horizontal="center" vertical="center"/>
    </xf>
    <xf numFmtId="0" fontId="6" fillId="0" borderId="1" xfId="0" applyFont="1" applyBorder="1" applyAlignment="1">
      <alignment horizontal="center" vertical="center" wrapText="1"/>
    </xf>
    <xf numFmtId="0" fontId="6" fillId="0" borderId="7" xfId="0" applyFont="1" applyBorder="1" applyAlignment="1">
      <alignment horizontal="center" vertical="center"/>
    </xf>
    <xf numFmtId="0" fontId="6" fillId="0" borderId="9" xfId="0" applyFont="1" applyBorder="1" applyAlignment="1">
      <alignment horizontal="center" vertical="center" wrapText="1" readingOrder="2"/>
    </xf>
    <xf numFmtId="1" fontId="9" fillId="0" borderId="1" xfId="2" applyNumberFormat="1" applyFont="1" applyFill="1" applyBorder="1" applyAlignment="1" applyProtection="1">
      <alignment horizontal="center" vertical="center" wrapText="1" readingOrder="2"/>
    </xf>
    <xf numFmtId="1" fontId="9" fillId="0" borderId="1" xfId="1" applyNumberFormat="1" applyFont="1" applyFill="1" applyBorder="1" applyAlignment="1" applyProtection="1">
      <alignment horizontal="center" vertical="center" wrapText="1" readingOrder="2"/>
    </xf>
    <xf numFmtId="9" fontId="8" fillId="0" borderId="4" xfId="2" applyFont="1" applyFill="1" applyBorder="1" applyAlignment="1" applyProtection="1">
      <alignment horizontal="center" vertical="center" wrapText="1" readingOrder="2"/>
    </xf>
    <xf numFmtId="1" fontId="9" fillId="0" borderId="4" xfId="1" applyNumberFormat="1" applyFont="1" applyFill="1" applyBorder="1" applyAlignment="1" applyProtection="1">
      <alignment horizontal="center" vertical="center" wrapText="1" readingOrder="2"/>
    </xf>
    <xf numFmtId="0" fontId="6" fillId="0" borderId="6" xfId="0" applyFont="1" applyBorder="1" applyAlignment="1">
      <alignment horizontal="center" vertical="center"/>
    </xf>
    <xf numFmtId="0" fontId="9" fillId="2" borderId="12" xfId="0" applyFont="1" applyFill="1" applyBorder="1" applyAlignment="1">
      <alignment horizontal="center" vertical="center" wrapText="1" readingOrder="2"/>
    </xf>
    <xf numFmtId="0" fontId="9" fillId="2" borderId="12" xfId="0" applyFont="1" applyFill="1" applyBorder="1" applyAlignment="1">
      <alignment horizontal="center" vertical="center" wrapText="1"/>
    </xf>
    <xf numFmtId="165" fontId="9" fillId="2" borderId="12" xfId="0" applyNumberFormat="1" applyFont="1" applyFill="1" applyBorder="1" applyAlignment="1">
      <alignment horizontal="center" vertical="center" wrapText="1" readingOrder="2"/>
    </xf>
    <xf numFmtId="1" fontId="9" fillId="2" borderId="11" xfId="0" applyNumberFormat="1" applyFont="1" applyFill="1" applyBorder="1" applyAlignment="1">
      <alignment horizontal="center" vertical="center" wrapText="1" readingOrder="2"/>
    </xf>
    <xf numFmtId="1" fontId="9" fillId="2" borderId="12" xfId="0" applyNumberFormat="1" applyFont="1" applyFill="1" applyBorder="1" applyAlignment="1">
      <alignment horizontal="center" vertical="center" wrapText="1" readingOrder="2"/>
    </xf>
    <xf numFmtId="9" fontId="9" fillId="2" borderId="12" xfId="0" applyNumberFormat="1" applyFont="1" applyFill="1" applyBorder="1" applyAlignment="1">
      <alignment horizontal="center" vertical="center" wrapText="1" readingOrder="2"/>
    </xf>
    <xf numFmtId="0" fontId="9" fillId="2" borderId="13" xfId="0" applyFont="1" applyFill="1" applyBorder="1" applyAlignment="1">
      <alignment horizontal="center" vertical="center" wrapText="1" readingOrder="2"/>
    </xf>
    <xf numFmtId="0" fontId="9" fillId="0" borderId="0" xfId="0" applyFont="1" applyAlignment="1">
      <alignment horizontal="center" vertical="center" wrapText="1"/>
    </xf>
    <xf numFmtId="9" fontId="9" fillId="0" borderId="1" xfId="2" applyFont="1" applyFill="1" applyBorder="1" applyAlignment="1">
      <alignment horizontal="center" vertical="center" wrapText="1" readingOrder="2"/>
    </xf>
    <xf numFmtId="9" fontId="9" fillId="0" borderId="4" xfId="2" applyFont="1" applyFill="1" applyBorder="1" applyAlignment="1">
      <alignment horizontal="center" vertical="center" wrapText="1" readingOrder="2"/>
    </xf>
    <xf numFmtId="9" fontId="9" fillId="0" borderId="0" xfId="0" applyNumberFormat="1" applyFont="1" applyAlignment="1">
      <alignment horizontal="center" vertical="center" wrapText="1"/>
    </xf>
    <xf numFmtId="9" fontId="9" fillId="2" borderId="16" xfId="0" applyNumberFormat="1" applyFont="1" applyFill="1" applyBorder="1" applyAlignment="1">
      <alignment horizontal="center" vertical="center" wrapText="1" readingOrder="2"/>
    </xf>
    <xf numFmtId="9" fontId="9" fillId="0" borderId="19" xfId="2" applyFont="1" applyFill="1" applyBorder="1" applyAlignment="1">
      <alignment horizontal="center" vertical="center" wrapText="1" readingOrder="2"/>
    </xf>
    <xf numFmtId="9" fontId="9" fillId="0" borderId="14" xfId="2" applyFont="1" applyFill="1" applyBorder="1" applyAlignment="1">
      <alignment horizontal="center" vertical="center" wrapText="1" readingOrder="2"/>
    </xf>
    <xf numFmtId="1" fontId="9" fillId="0" borderId="0" xfId="0" applyNumberFormat="1" applyFont="1" applyAlignment="1">
      <alignment horizontal="center" vertical="center" wrapText="1"/>
    </xf>
    <xf numFmtId="0" fontId="13" fillId="2" borderId="1" xfId="0" applyFont="1" applyFill="1" applyBorder="1" applyAlignment="1">
      <alignment horizontal="center" vertical="center" wrapText="1"/>
    </xf>
    <xf numFmtId="0" fontId="9" fillId="2" borderId="9" xfId="0" applyFont="1" applyFill="1" applyBorder="1" applyAlignment="1">
      <alignment horizontal="center" vertical="center" wrapText="1" readingOrder="2"/>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10" fillId="0" borderId="3" xfId="0" applyFont="1" applyFill="1" applyBorder="1" applyAlignment="1">
      <alignment horizontal="center" vertical="center" wrapText="1" readingOrder="2"/>
    </xf>
    <xf numFmtId="0" fontId="11" fillId="0" borderId="4" xfId="0" applyFont="1" applyFill="1" applyBorder="1" applyAlignment="1">
      <alignment horizontal="center" vertical="center" wrapText="1" readingOrder="2"/>
    </xf>
    <xf numFmtId="0" fontId="9" fillId="0" borderId="4" xfId="0" applyFont="1" applyFill="1" applyBorder="1" applyAlignment="1">
      <alignment horizontal="center" vertical="center" wrapText="1" readingOrder="2"/>
    </xf>
    <xf numFmtId="0" fontId="12" fillId="0" borderId="4" xfId="0" applyFont="1" applyFill="1" applyBorder="1" applyAlignment="1">
      <alignment horizontal="center" vertical="center" wrapText="1" readingOrder="2"/>
    </xf>
    <xf numFmtId="165" fontId="9" fillId="0" borderId="4" xfId="0" applyNumberFormat="1" applyFont="1" applyFill="1" applyBorder="1" applyAlignment="1">
      <alignment horizontal="center" vertical="center" wrapText="1" readingOrder="2"/>
    </xf>
    <xf numFmtId="0" fontId="9" fillId="0" borderId="2" xfId="0" applyFont="1" applyFill="1" applyBorder="1" applyAlignment="1">
      <alignment horizontal="center" vertical="center" wrapText="1" readingOrder="2"/>
    </xf>
    <xf numFmtId="1" fontId="9" fillId="0" borderId="3" xfId="0" applyNumberFormat="1" applyFont="1" applyFill="1" applyBorder="1" applyAlignment="1">
      <alignment horizontal="center" vertical="center" wrapText="1" readingOrder="2"/>
    </xf>
    <xf numFmtId="1" fontId="9" fillId="0" borderId="4" xfId="0" applyNumberFormat="1" applyFont="1" applyFill="1" applyBorder="1" applyAlignment="1">
      <alignment horizontal="center" vertical="center" wrapText="1" readingOrder="2"/>
    </xf>
    <xf numFmtId="0" fontId="9" fillId="0" borderId="5" xfId="0" applyFont="1" applyFill="1" applyBorder="1" applyAlignment="1">
      <alignment horizontal="center" vertical="center" wrapText="1" readingOrder="2"/>
    </xf>
    <xf numFmtId="0" fontId="11" fillId="0" borderId="20" xfId="0" applyFont="1" applyFill="1" applyBorder="1" applyAlignment="1">
      <alignment horizontal="center" vertical="center" wrapText="1" readingOrder="2"/>
    </xf>
    <xf numFmtId="0" fontId="9" fillId="0" borderId="0" xfId="0" applyFont="1" applyFill="1" applyAlignment="1">
      <alignment horizontal="center" vertical="center" wrapText="1"/>
    </xf>
    <xf numFmtId="0" fontId="10" fillId="0" borderId="6" xfId="0" applyFont="1" applyFill="1" applyBorder="1" applyAlignment="1">
      <alignment horizontal="center" vertical="center" wrapText="1" readingOrder="2"/>
    </xf>
    <xf numFmtId="0" fontId="11" fillId="0" borderId="1" xfId="0" applyFont="1" applyFill="1" applyBorder="1" applyAlignment="1">
      <alignment horizontal="center" vertical="center" wrapText="1" readingOrder="2"/>
    </xf>
    <xf numFmtId="0" fontId="9" fillId="0" borderId="1" xfId="0" applyFont="1" applyFill="1" applyBorder="1" applyAlignment="1">
      <alignment horizontal="center" vertical="center" wrapText="1" readingOrder="2"/>
    </xf>
    <xf numFmtId="0" fontId="12" fillId="0" borderId="1" xfId="0" applyFont="1" applyFill="1" applyBorder="1" applyAlignment="1">
      <alignment horizontal="center" vertical="center" wrapText="1" readingOrder="2"/>
    </xf>
    <xf numFmtId="165" fontId="9" fillId="0" borderId="1" xfId="0" applyNumberFormat="1" applyFont="1" applyFill="1" applyBorder="1" applyAlignment="1">
      <alignment horizontal="center" vertical="center" wrapText="1" readingOrder="2"/>
    </xf>
    <xf numFmtId="9" fontId="9" fillId="0" borderId="14" xfId="0" applyNumberFormat="1" applyFont="1" applyFill="1" applyBorder="1" applyAlignment="1">
      <alignment horizontal="center" vertical="center" wrapText="1" readingOrder="2"/>
    </xf>
    <xf numFmtId="1" fontId="9" fillId="0" borderId="6" xfId="0" applyNumberFormat="1" applyFont="1" applyFill="1" applyBorder="1" applyAlignment="1">
      <alignment horizontal="center" vertical="center" wrapText="1" readingOrder="2"/>
    </xf>
    <xf numFmtId="1" fontId="9" fillId="0" borderId="1" xfId="0" applyNumberFormat="1" applyFont="1" applyFill="1" applyBorder="1" applyAlignment="1">
      <alignment horizontal="center" vertical="center" wrapText="1" readingOrder="2"/>
    </xf>
    <xf numFmtId="0" fontId="9" fillId="0" borderId="7" xfId="0" applyFont="1" applyFill="1" applyBorder="1" applyAlignment="1">
      <alignment horizontal="center" vertical="center" wrapText="1" readingOrder="2"/>
    </xf>
    <xf numFmtId="0" fontId="11" fillId="0" borderId="15" xfId="0" applyFont="1" applyFill="1" applyBorder="1" applyAlignment="1">
      <alignment horizontal="center" vertical="center" wrapText="1" readingOrder="2"/>
    </xf>
    <xf numFmtId="0" fontId="8" fillId="0" borderId="1" xfId="0" applyFont="1" applyFill="1" applyBorder="1" applyAlignment="1">
      <alignment horizontal="center" vertical="center" wrapText="1" readingOrder="2"/>
    </xf>
    <xf numFmtId="9" fontId="16" fillId="0" borderId="1" xfId="2" applyFont="1" applyFill="1" applyBorder="1" applyAlignment="1">
      <alignment horizontal="center" vertical="center" wrapText="1" readingOrder="2"/>
    </xf>
    <xf numFmtId="167" fontId="9" fillId="0" borderId="6" xfId="1" applyNumberFormat="1" applyFont="1" applyFill="1" applyBorder="1" applyAlignment="1" applyProtection="1">
      <alignment horizontal="center" vertical="center" wrapText="1" readingOrder="2"/>
    </xf>
    <xf numFmtId="2" fontId="9" fillId="0" borderId="1" xfId="1" applyNumberFormat="1" applyFont="1" applyFill="1" applyBorder="1" applyAlignment="1" applyProtection="1">
      <alignment horizontal="center" vertical="center" wrapText="1" readingOrder="2"/>
    </xf>
    <xf numFmtId="0" fontId="9" fillId="0" borderId="12" xfId="0" applyFont="1" applyFill="1" applyBorder="1" applyAlignment="1">
      <alignment horizontal="center" vertical="center" wrapText="1" readingOrder="2"/>
    </xf>
    <xf numFmtId="9" fontId="9" fillId="0" borderId="1" xfId="0" applyNumberFormat="1" applyFont="1" applyFill="1" applyBorder="1" applyAlignment="1">
      <alignment horizontal="center" vertical="center" wrapText="1" readingOrder="2"/>
    </xf>
    <xf numFmtId="0" fontId="9" fillId="0" borderId="18" xfId="0" applyFont="1" applyFill="1" applyBorder="1" applyAlignment="1">
      <alignment horizontal="center" vertical="center" wrapText="1" readingOrder="2"/>
    </xf>
    <xf numFmtId="0" fontId="14" fillId="0" borderId="1" xfId="0" applyFont="1" applyFill="1" applyBorder="1" applyAlignment="1">
      <alignment horizontal="center" vertical="center" wrapText="1" readingOrder="2"/>
    </xf>
    <xf numFmtId="0" fontId="14" fillId="0" borderId="7" xfId="0" applyFont="1" applyFill="1" applyBorder="1" applyAlignment="1">
      <alignment horizontal="center" vertical="center" wrapText="1" readingOrder="2"/>
    </xf>
    <xf numFmtId="0" fontId="15" fillId="0" borderId="7" xfId="0" applyFont="1" applyFill="1" applyBorder="1" applyAlignment="1">
      <alignment horizontal="center" vertical="center" wrapText="1" readingOrder="2"/>
    </xf>
    <xf numFmtId="0" fontId="11" fillId="0" borderId="7" xfId="0" applyFont="1" applyFill="1" applyBorder="1" applyAlignment="1">
      <alignment horizontal="center" vertical="center" wrapText="1" readingOrder="2"/>
    </xf>
    <xf numFmtId="0" fontId="7" fillId="0" borderId="12" xfId="0" applyFont="1" applyFill="1" applyBorder="1" applyAlignment="1">
      <alignment horizontal="center" vertical="center" wrapText="1" readingOrder="2"/>
    </xf>
    <xf numFmtId="0" fontId="10" fillId="0" borderId="1" xfId="0" applyFont="1" applyFill="1" applyBorder="1" applyAlignment="1">
      <alignment horizontal="center" vertical="center" wrapText="1" readingOrder="2"/>
    </xf>
    <xf numFmtId="0" fontId="10" fillId="0" borderId="2" xfId="0" applyFont="1" applyFill="1" applyBorder="1" applyAlignment="1">
      <alignment horizontal="center" vertical="center" wrapText="1" readingOrder="2"/>
    </xf>
    <xf numFmtId="0" fontId="11" fillId="0" borderId="2" xfId="0" applyFont="1" applyFill="1" applyBorder="1" applyAlignment="1">
      <alignment horizontal="center" vertical="center" wrapText="1" readingOrder="2"/>
    </xf>
    <xf numFmtId="9" fontId="8" fillId="0" borderId="2" xfId="2" applyFont="1" applyFill="1" applyBorder="1" applyAlignment="1" applyProtection="1">
      <alignment horizontal="center" vertical="center" wrapText="1" readingOrder="2"/>
    </xf>
    <xf numFmtId="165" fontId="9" fillId="0" borderId="2" xfId="0" applyNumberFormat="1" applyFont="1" applyFill="1" applyBorder="1" applyAlignment="1">
      <alignment horizontal="center" vertical="center" wrapText="1" readingOrder="2"/>
    </xf>
    <xf numFmtId="9" fontId="9" fillId="0" borderId="2" xfId="2" applyFont="1" applyFill="1" applyBorder="1" applyAlignment="1">
      <alignment horizontal="center" vertical="center" wrapText="1" readingOrder="2"/>
    </xf>
    <xf numFmtId="1" fontId="9" fillId="0" borderId="2" xfId="0" applyNumberFormat="1" applyFont="1" applyFill="1" applyBorder="1" applyAlignment="1">
      <alignment horizontal="center" vertical="center" wrapText="1" readingOrder="2"/>
    </xf>
    <xf numFmtId="1" fontId="9" fillId="0" borderId="2" xfId="1" applyNumberFormat="1" applyFont="1" applyFill="1" applyBorder="1" applyAlignment="1" applyProtection="1">
      <alignment horizontal="center" vertical="center" wrapText="1" readingOrder="2"/>
    </xf>
    <xf numFmtId="0" fontId="9" fillId="2" borderId="23" xfId="0" applyFont="1" applyFill="1" applyBorder="1" applyAlignment="1">
      <alignment horizontal="center" vertical="center" wrapText="1" readingOrder="2"/>
    </xf>
    <xf numFmtId="0" fontId="9" fillId="2" borderId="23" xfId="0" applyFont="1" applyFill="1" applyBorder="1" applyAlignment="1">
      <alignment horizontal="center" vertical="center" wrapText="1"/>
    </xf>
    <xf numFmtId="165" fontId="9" fillId="2" borderId="23" xfId="0" applyNumberFormat="1" applyFont="1" applyFill="1" applyBorder="1" applyAlignment="1">
      <alignment horizontal="center" vertical="center" wrapText="1" readingOrder="2"/>
    </xf>
    <xf numFmtId="9" fontId="9" fillId="2" borderId="28" xfId="0" applyNumberFormat="1" applyFont="1" applyFill="1" applyBorder="1" applyAlignment="1">
      <alignment horizontal="center" vertical="center" wrapText="1" readingOrder="2"/>
    </xf>
    <xf numFmtId="1" fontId="9" fillId="2" borderId="29" xfId="0" applyNumberFormat="1" applyFont="1" applyFill="1" applyBorder="1" applyAlignment="1">
      <alignment horizontal="center" vertical="center" wrapText="1" readingOrder="2"/>
    </xf>
    <xf numFmtId="1" fontId="9" fillId="2" borderId="23" xfId="0" applyNumberFormat="1" applyFont="1" applyFill="1" applyBorder="1" applyAlignment="1">
      <alignment horizontal="center" vertical="center" wrapText="1" readingOrder="2"/>
    </xf>
    <xf numFmtId="9" fontId="9" fillId="2" borderId="23" xfId="0" applyNumberFormat="1" applyFont="1" applyFill="1" applyBorder="1" applyAlignment="1">
      <alignment horizontal="center" vertical="center" wrapText="1" readingOrder="2"/>
    </xf>
    <xf numFmtId="0" fontId="3"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13" fillId="2" borderId="7"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9" fillId="0" borderId="17" xfId="0" applyFont="1" applyFill="1" applyBorder="1" applyAlignment="1">
      <alignment horizontal="center" vertical="center" wrapText="1" readingOrder="2"/>
    </xf>
    <xf numFmtId="0" fontId="9" fillId="0" borderId="18" xfId="0" applyFont="1" applyFill="1" applyBorder="1" applyAlignment="1">
      <alignment horizontal="center" vertical="center" wrapText="1" readingOrder="2"/>
    </xf>
    <xf numFmtId="0" fontId="9" fillId="2" borderId="3" xfId="0" applyFont="1" applyFill="1" applyBorder="1" applyAlignment="1">
      <alignment horizontal="center" vertical="center" wrapText="1" readingOrder="2"/>
    </xf>
    <xf numFmtId="0" fontId="9" fillId="2" borderId="11" xfId="0" applyFont="1" applyFill="1" applyBorder="1" applyAlignment="1">
      <alignment horizontal="center" vertical="center" wrapText="1" readingOrder="2"/>
    </xf>
    <xf numFmtId="0" fontId="10" fillId="2" borderId="4" xfId="0" applyFont="1" applyFill="1" applyBorder="1" applyAlignment="1">
      <alignment horizontal="center" vertical="center" wrapText="1" readingOrder="2"/>
    </xf>
    <xf numFmtId="0" fontId="10" fillId="2" borderId="19" xfId="0" applyFont="1" applyFill="1" applyBorder="1" applyAlignment="1">
      <alignment horizontal="center" vertical="center" wrapText="1" readingOrder="2"/>
    </xf>
    <xf numFmtId="166" fontId="10" fillId="2" borderId="3" xfId="0" applyNumberFormat="1" applyFont="1" applyFill="1" applyBorder="1" applyAlignment="1">
      <alignment horizontal="center" vertical="center" wrapText="1" readingOrder="2"/>
    </xf>
    <xf numFmtId="166" fontId="10" fillId="2" borderId="4" xfId="0" applyNumberFormat="1" applyFont="1" applyFill="1" applyBorder="1" applyAlignment="1">
      <alignment horizontal="center" vertical="center" wrapText="1" readingOrder="2"/>
    </xf>
    <xf numFmtId="166" fontId="10" fillId="2" borderId="5" xfId="0" applyNumberFormat="1" applyFont="1" applyFill="1" applyBorder="1" applyAlignment="1">
      <alignment horizontal="center" vertical="center" wrapText="1" readingOrder="2"/>
    </xf>
    <xf numFmtId="0" fontId="9" fillId="2" borderId="20" xfId="0" applyFont="1" applyFill="1" applyBorder="1" applyAlignment="1">
      <alignment horizontal="center" vertical="center" wrapText="1" readingOrder="2"/>
    </xf>
    <xf numFmtId="0" fontId="9" fillId="2" borderId="21" xfId="0" applyFont="1" applyFill="1" applyBorder="1" applyAlignment="1">
      <alignment horizontal="center" vertical="center" wrapText="1" readingOrder="2"/>
    </xf>
    <xf numFmtId="0" fontId="9" fillId="2" borderId="4" xfId="0" applyFont="1" applyFill="1" applyBorder="1" applyAlignment="1">
      <alignment horizontal="center" vertical="center" wrapText="1" readingOrder="2"/>
    </xf>
    <xf numFmtId="0" fontId="9" fillId="2" borderId="12" xfId="0" applyFont="1" applyFill="1" applyBorder="1" applyAlignment="1">
      <alignment horizontal="center" vertical="center" wrapText="1" readingOrder="2"/>
    </xf>
    <xf numFmtId="0" fontId="9" fillId="2" borderId="5" xfId="0" applyFont="1" applyFill="1" applyBorder="1" applyAlignment="1">
      <alignment horizontal="center" vertical="center" wrapText="1" readingOrder="2"/>
    </xf>
    <xf numFmtId="0" fontId="9" fillId="2" borderId="13" xfId="0" applyFont="1" applyFill="1" applyBorder="1" applyAlignment="1">
      <alignment horizontal="center" vertical="center" wrapText="1" readingOrder="2"/>
    </xf>
    <xf numFmtId="0" fontId="9" fillId="2" borderId="27" xfId="0" applyFont="1" applyFill="1" applyBorder="1" applyAlignment="1">
      <alignment horizontal="center" vertical="center" wrapText="1" readingOrder="2"/>
    </xf>
    <xf numFmtId="0" fontId="9" fillId="2" borderId="8" xfId="0" applyFont="1" applyFill="1" applyBorder="1" applyAlignment="1">
      <alignment horizontal="center" vertical="center" wrapText="1" readingOrder="2"/>
    </xf>
    <xf numFmtId="0" fontId="10" fillId="2" borderId="24" xfId="0" applyFont="1" applyFill="1" applyBorder="1" applyAlignment="1">
      <alignment horizontal="center" vertical="center" wrapText="1" readingOrder="2"/>
    </xf>
    <xf numFmtId="0" fontId="10" fillId="2" borderId="25" xfId="0" applyFont="1" applyFill="1" applyBorder="1" applyAlignment="1">
      <alignment horizontal="center" vertical="center" wrapText="1" readingOrder="2"/>
    </xf>
    <xf numFmtId="0" fontId="10" fillId="2" borderId="30" xfId="0" applyFont="1" applyFill="1" applyBorder="1" applyAlignment="1">
      <alignment horizontal="center" vertical="center" wrapText="1" readingOrder="2"/>
    </xf>
    <xf numFmtId="0" fontId="10" fillId="2" borderId="26" xfId="0" applyFont="1" applyFill="1" applyBorder="1" applyAlignment="1">
      <alignment horizontal="center" vertical="center" wrapText="1" readingOrder="2"/>
    </xf>
    <xf numFmtId="0" fontId="10" fillId="2" borderId="31" xfId="0" applyFont="1" applyFill="1" applyBorder="1" applyAlignment="1">
      <alignment horizontal="center" vertical="center" wrapText="1" readingOrder="2"/>
    </xf>
    <xf numFmtId="166" fontId="10" fillId="2" borderId="24" xfId="0" applyNumberFormat="1" applyFont="1" applyFill="1" applyBorder="1" applyAlignment="1">
      <alignment horizontal="center" vertical="center" wrapText="1" readingOrder="2"/>
    </xf>
    <xf numFmtId="166" fontId="10" fillId="2" borderId="25" xfId="0" applyNumberFormat="1" applyFont="1" applyFill="1" applyBorder="1" applyAlignment="1">
      <alignment horizontal="center" vertical="center" wrapText="1" readingOrder="2"/>
    </xf>
    <xf numFmtId="0" fontId="9" fillId="2" borderId="22" xfId="0" applyFont="1" applyFill="1" applyBorder="1" applyAlignment="1">
      <alignment horizontal="center" vertical="center" wrapText="1" readingOrder="2"/>
    </xf>
  </cellXfs>
  <cellStyles count="6">
    <cellStyle name="Comma" xfId="1" builtinId="3"/>
    <cellStyle name="Comma 2" xfId="4"/>
    <cellStyle name="Normal" xfId="0" builtinId="0"/>
    <cellStyle name="Normal 2" xfId="3"/>
    <cellStyle name="Percent" xfId="2" builtinId="5"/>
    <cellStyle name="Percent 2" xf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30"/>
  <sheetViews>
    <sheetView rightToLeft="1" zoomScale="80" zoomScaleNormal="80" workbookViewId="0">
      <pane xSplit="3" ySplit="4" topLeftCell="D14" activePane="bottomRight" state="frozen"/>
      <selection pane="topRight" activeCell="D1" sqref="D1"/>
      <selection pane="bottomLeft" activeCell="A6" sqref="A6"/>
      <selection pane="bottomRight" activeCell="G5" sqref="B5:G36"/>
    </sheetView>
  </sheetViews>
  <sheetFormatPr defaultColWidth="21.5703125" defaultRowHeight="17.25" x14ac:dyDescent="0.25"/>
  <cols>
    <col min="1" max="1" width="0.85546875" style="17" customWidth="1"/>
    <col min="2" max="2" width="6.7109375" style="17" customWidth="1"/>
    <col min="3" max="3" width="33.28515625" style="17" customWidth="1"/>
    <col min="4" max="5" width="18.85546875" style="17" customWidth="1"/>
    <col min="6" max="6" width="21.5703125" style="17"/>
    <col min="7" max="7" width="86.5703125" style="17" customWidth="1"/>
    <col min="8" max="16384" width="21.5703125" style="17"/>
  </cols>
  <sheetData>
    <row r="1" spans="2:8" ht="18" thickBot="1" x14ac:dyDescent="0.3"/>
    <row r="2" spans="2:8" s="18" customFormat="1" ht="26.25" x14ac:dyDescent="0.25">
      <c r="B2" s="95" t="s">
        <v>299</v>
      </c>
      <c r="C2" s="96"/>
      <c r="D2" s="96"/>
      <c r="E2" s="96"/>
      <c r="F2" s="96"/>
      <c r="G2" s="96"/>
      <c r="H2" s="97"/>
    </row>
    <row r="3" spans="2:8" s="18" customFormat="1" ht="21" x14ac:dyDescent="0.25">
      <c r="B3" s="99" t="s">
        <v>0</v>
      </c>
      <c r="C3" s="100" t="s">
        <v>25</v>
      </c>
      <c r="D3" s="101" t="s">
        <v>27</v>
      </c>
      <c r="E3" s="101"/>
      <c r="F3" s="100" t="s">
        <v>14</v>
      </c>
      <c r="G3" s="100" t="s">
        <v>15</v>
      </c>
      <c r="H3" s="98" t="s">
        <v>17</v>
      </c>
    </row>
    <row r="4" spans="2:8" s="18" customFormat="1" ht="42" x14ac:dyDescent="0.25">
      <c r="B4" s="99"/>
      <c r="C4" s="100"/>
      <c r="D4" s="42" t="s">
        <v>19</v>
      </c>
      <c r="E4" s="42" t="s">
        <v>26</v>
      </c>
      <c r="F4" s="100"/>
      <c r="G4" s="100"/>
      <c r="H4" s="98"/>
    </row>
    <row r="5" spans="2:8" x14ac:dyDescent="0.25">
      <c r="B5" s="26"/>
      <c r="C5" s="5"/>
      <c r="D5" s="5"/>
      <c r="E5" s="5"/>
      <c r="F5" s="19"/>
      <c r="G5" s="19"/>
      <c r="H5" s="20"/>
    </row>
    <row r="6" spans="2:8" x14ac:dyDescent="0.25">
      <c r="B6" s="26"/>
      <c r="C6" s="5"/>
      <c r="D6" s="5"/>
      <c r="E6" s="5"/>
      <c r="F6" s="19"/>
      <c r="G6" s="19"/>
      <c r="H6" s="20"/>
    </row>
    <row r="7" spans="2:8" x14ac:dyDescent="0.25">
      <c r="B7" s="26"/>
      <c r="C7" s="5"/>
      <c r="D7" s="5"/>
      <c r="E7" s="5"/>
      <c r="F7" s="19"/>
      <c r="G7" s="19"/>
      <c r="H7" s="20"/>
    </row>
    <row r="8" spans="2:8" x14ac:dyDescent="0.25">
      <c r="B8" s="26"/>
      <c r="C8" s="5"/>
      <c r="D8" s="5"/>
      <c r="E8" s="5"/>
      <c r="F8" s="19"/>
      <c r="G8" s="19"/>
      <c r="H8" s="20"/>
    </row>
    <row r="9" spans="2:8" x14ac:dyDescent="0.25">
      <c r="B9" s="26"/>
      <c r="C9" s="5"/>
      <c r="D9" s="5"/>
      <c r="E9" s="5"/>
      <c r="F9" s="19"/>
      <c r="G9" s="19"/>
      <c r="H9" s="20"/>
    </row>
    <row r="10" spans="2:8" x14ac:dyDescent="0.25">
      <c r="B10" s="26"/>
      <c r="C10" s="5"/>
      <c r="D10" s="5"/>
      <c r="E10" s="5"/>
      <c r="F10" s="19"/>
      <c r="G10" s="19"/>
      <c r="H10" s="20"/>
    </row>
    <row r="11" spans="2:8" x14ac:dyDescent="0.25">
      <c r="B11" s="26"/>
      <c r="C11" s="5"/>
      <c r="D11" s="5"/>
      <c r="E11" s="5"/>
      <c r="F11" s="19"/>
      <c r="G11" s="19"/>
      <c r="H11" s="20"/>
    </row>
    <row r="12" spans="2:8" x14ac:dyDescent="0.25">
      <c r="B12" s="26"/>
      <c r="C12" s="5"/>
      <c r="D12" s="5"/>
      <c r="E12" s="5"/>
      <c r="F12" s="19"/>
      <c r="G12" s="19"/>
      <c r="H12" s="20"/>
    </row>
    <row r="13" spans="2:8" x14ac:dyDescent="0.25">
      <c r="B13" s="26"/>
      <c r="C13" s="5"/>
      <c r="D13" s="5"/>
      <c r="E13" s="5"/>
      <c r="F13" s="19"/>
      <c r="G13" s="19"/>
      <c r="H13" s="20"/>
    </row>
    <row r="14" spans="2:8" x14ac:dyDescent="0.25">
      <c r="B14" s="26"/>
      <c r="C14" s="5"/>
      <c r="D14" s="5"/>
      <c r="E14" s="5"/>
      <c r="F14" s="19"/>
      <c r="G14" s="19"/>
      <c r="H14" s="20"/>
    </row>
    <row r="15" spans="2:8" x14ac:dyDescent="0.25">
      <c r="B15" s="26"/>
      <c r="C15" s="5"/>
      <c r="D15" s="5"/>
      <c r="E15" s="5"/>
      <c r="F15" s="19"/>
      <c r="G15" s="19"/>
      <c r="H15" s="20"/>
    </row>
    <row r="16" spans="2:8" x14ac:dyDescent="0.25">
      <c r="B16" s="26"/>
      <c r="C16" s="5"/>
      <c r="D16" s="5"/>
      <c r="E16" s="5"/>
      <c r="F16" s="19"/>
      <c r="G16" s="19"/>
      <c r="H16" s="20"/>
    </row>
    <row r="17" spans="2:8" x14ac:dyDescent="0.25">
      <c r="B17" s="26"/>
      <c r="C17" s="5"/>
      <c r="D17" s="5"/>
      <c r="E17" s="5"/>
      <c r="F17" s="19"/>
      <c r="G17" s="19"/>
      <c r="H17" s="20"/>
    </row>
    <row r="18" spans="2:8" x14ac:dyDescent="0.25">
      <c r="B18" s="26"/>
      <c r="C18" s="5"/>
      <c r="D18" s="5"/>
      <c r="E18" s="5"/>
      <c r="F18" s="19"/>
      <c r="G18" s="19"/>
      <c r="H18" s="20"/>
    </row>
    <row r="19" spans="2:8" x14ac:dyDescent="0.25">
      <c r="B19" s="26"/>
      <c r="C19" s="5"/>
      <c r="D19" s="5"/>
      <c r="E19" s="5"/>
      <c r="F19" s="19"/>
      <c r="G19" s="19"/>
      <c r="H19" s="20"/>
    </row>
    <row r="20" spans="2:8" x14ac:dyDescent="0.25">
      <c r="B20" s="26"/>
      <c r="C20" s="5"/>
      <c r="D20" s="5"/>
      <c r="E20" s="5"/>
      <c r="F20" s="19"/>
      <c r="G20" s="19"/>
      <c r="H20" s="20"/>
    </row>
    <row r="21" spans="2:8" x14ac:dyDescent="0.25">
      <c r="B21" s="26"/>
      <c r="C21" s="5"/>
      <c r="D21" s="5"/>
      <c r="E21" s="5"/>
      <c r="F21" s="19"/>
      <c r="G21" s="19"/>
      <c r="H21" s="20"/>
    </row>
    <row r="22" spans="2:8" x14ac:dyDescent="0.25">
      <c r="B22" s="26"/>
      <c r="C22" s="5"/>
      <c r="D22" s="5"/>
      <c r="E22" s="5"/>
      <c r="F22" s="19"/>
      <c r="G22" s="19"/>
      <c r="H22" s="20"/>
    </row>
    <row r="23" spans="2:8" x14ac:dyDescent="0.25">
      <c r="B23" s="26"/>
      <c r="C23" s="5"/>
      <c r="D23" s="5"/>
      <c r="E23" s="5"/>
      <c r="F23" s="19"/>
      <c r="G23" s="19"/>
      <c r="H23" s="20"/>
    </row>
    <row r="24" spans="2:8" x14ac:dyDescent="0.25">
      <c r="B24" s="26"/>
      <c r="C24" s="5"/>
      <c r="D24" s="5"/>
      <c r="E24" s="5"/>
      <c r="F24" s="19"/>
      <c r="G24" s="19"/>
      <c r="H24" s="20"/>
    </row>
    <row r="25" spans="2:8" x14ac:dyDescent="0.25">
      <c r="B25" s="26"/>
      <c r="C25" s="5"/>
      <c r="D25" s="5"/>
      <c r="E25" s="5"/>
      <c r="F25" s="19"/>
      <c r="G25" s="19"/>
      <c r="H25" s="20"/>
    </row>
    <row r="26" spans="2:8" x14ac:dyDescent="0.25">
      <c r="B26" s="26"/>
      <c r="C26" s="5"/>
      <c r="D26" s="5"/>
      <c r="E26" s="5"/>
      <c r="F26" s="19"/>
      <c r="G26" s="19"/>
      <c r="H26" s="20"/>
    </row>
    <row r="27" spans="2:8" x14ac:dyDescent="0.25">
      <c r="B27" s="26"/>
      <c r="C27" s="5"/>
      <c r="D27" s="5"/>
      <c r="E27" s="5"/>
      <c r="F27" s="19"/>
      <c r="G27" s="19"/>
      <c r="H27" s="20"/>
    </row>
    <row r="28" spans="2:8" x14ac:dyDescent="0.25">
      <c r="B28" s="26"/>
      <c r="C28" s="5"/>
      <c r="D28" s="5"/>
      <c r="E28" s="5"/>
      <c r="F28" s="19"/>
      <c r="G28" s="19"/>
      <c r="H28" s="20"/>
    </row>
    <row r="29" spans="2:8" x14ac:dyDescent="0.25">
      <c r="B29" s="26"/>
      <c r="C29" s="5"/>
      <c r="D29" s="5"/>
      <c r="E29" s="5"/>
      <c r="F29" s="19"/>
      <c r="G29" s="19"/>
      <c r="H29" s="20"/>
    </row>
    <row r="30" spans="2:8" ht="18" thickBot="1" x14ac:dyDescent="0.3">
      <c r="B30" s="44"/>
      <c r="C30" s="45"/>
      <c r="D30" s="21"/>
      <c r="E30" s="45"/>
      <c r="F30" s="45"/>
      <c r="G30" s="45"/>
      <c r="H30" s="46"/>
    </row>
  </sheetData>
  <autoFilter ref="A4:H29"/>
  <mergeCells count="7">
    <mergeCell ref="B2:H2"/>
    <mergeCell ref="H3:H4"/>
    <mergeCell ref="B3:B4"/>
    <mergeCell ref="F3:F4"/>
    <mergeCell ref="G3:G4"/>
    <mergeCell ref="D3:E3"/>
    <mergeCell ref="C3:C4"/>
  </mergeCells>
  <pageMargins left="0.25" right="0.25" top="0.75" bottom="0.75" header="0.3" footer="0.3"/>
  <pageSetup paperSize="9" scale="8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E37"/>
  <sheetViews>
    <sheetView rightToLeft="1" view="pageBreakPreview" zoomScale="80" zoomScaleNormal="70" zoomScaleSheetLayoutView="80" workbookViewId="0">
      <pane xSplit="5" ySplit="3" topLeftCell="X4" activePane="bottomRight" state="frozen"/>
      <selection pane="topRight" activeCell="F1" sqref="F1"/>
      <selection pane="bottomLeft" activeCell="A3" sqref="A3"/>
      <selection pane="bottomRight" activeCell="D1" sqref="D1:D1048576"/>
    </sheetView>
  </sheetViews>
  <sheetFormatPr defaultRowHeight="18" x14ac:dyDescent="0.25"/>
  <cols>
    <col min="1" max="1" width="3.42578125" style="34" customWidth="1"/>
    <col min="2" max="2" width="9.140625" style="34" customWidth="1"/>
    <col min="3" max="4" width="13.5703125" style="34" customWidth="1"/>
    <col min="5" max="5" width="40.28515625" style="34" customWidth="1"/>
    <col min="6" max="7" width="19.85546875" style="34" customWidth="1"/>
    <col min="8" max="8" width="14.5703125" style="34" customWidth="1"/>
    <col min="9" max="13" width="19.85546875" style="34" customWidth="1"/>
    <col min="14" max="14" width="14" style="34" customWidth="1"/>
    <col min="15" max="15" width="15.140625" style="34" customWidth="1"/>
    <col min="16" max="16" width="15.85546875" style="34" customWidth="1"/>
    <col min="17" max="17" width="15.140625" style="34" customWidth="1"/>
    <col min="18" max="18" width="22.42578125" style="37" customWidth="1"/>
    <col min="19" max="21" width="15.42578125" style="34" customWidth="1"/>
    <col min="22" max="25" width="15" style="34" customWidth="1"/>
    <col min="26" max="27" width="23.85546875" style="34" customWidth="1"/>
    <col min="28" max="29" width="43.7109375" style="34" customWidth="1"/>
    <col min="30" max="30" width="22.140625" style="34" customWidth="1"/>
    <col min="31" max="16384" width="9.140625" style="34"/>
  </cols>
  <sheetData>
    <row r="1" spans="2:30" ht="36.75" customHeight="1" thickBot="1" x14ac:dyDescent="0.3"/>
    <row r="2" spans="2:30" ht="18.75" customHeight="1" x14ac:dyDescent="0.25">
      <c r="B2" s="104" t="s">
        <v>0</v>
      </c>
      <c r="C2" s="106" t="s">
        <v>13</v>
      </c>
      <c r="D2" s="106"/>
      <c r="E2" s="106"/>
      <c r="F2" s="106"/>
      <c r="G2" s="106"/>
      <c r="H2" s="106"/>
      <c r="I2" s="106" t="s">
        <v>10</v>
      </c>
      <c r="J2" s="106"/>
      <c r="K2" s="106"/>
      <c r="L2" s="106"/>
      <c r="M2" s="106"/>
      <c r="N2" s="106" t="s">
        <v>8</v>
      </c>
      <c r="O2" s="106"/>
      <c r="P2" s="106"/>
      <c r="Q2" s="106"/>
      <c r="R2" s="107"/>
      <c r="S2" s="108" t="s">
        <v>9</v>
      </c>
      <c r="T2" s="109"/>
      <c r="U2" s="109"/>
      <c r="V2" s="109"/>
      <c r="W2" s="109"/>
      <c r="X2" s="109"/>
      <c r="Y2" s="109"/>
      <c r="Z2" s="109"/>
      <c r="AA2" s="110"/>
      <c r="AB2" s="111" t="s">
        <v>14</v>
      </c>
      <c r="AC2" s="113" t="s">
        <v>15</v>
      </c>
      <c r="AD2" s="115" t="s">
        <v>17</v>
      </c>
    </row>
    <row r="3" spans="2:30" ht="36.75" thickBot="1" x14ac:dyDescent="0.3">
      <c r="B3" s="105"/>
      <c r="C3" s="27" t="s">
        <v>12</v>
      </c>
      <c r="D3" s="27" t="s">
        <v>2</v>
      </c>
      <c r="E3" s="27" t="s">
        <v>1</v>
      </c>
      <c r="F3" s="27" t="s">
        <v>18</v>
      </c>
      <c r="G3" s="27" t="s">
        <v>11</v>
      </c>
      <c r="H3" s="28" t="s">
        <v>306</v>
      </c>
      <c r="I3" s="27" t="s">
        <v>22</v>
      </c>
      <c r="J3" s="27" t="s">
        <v>23</v>
      </c>
      <c r="K3" s="27" t="s">
        <v>16</v>
      </c>
      <c r="L3" s="27" t="s">
        <v>171</v>
      </c>
      <c r="M3" s="27" t="s">
        <v>172</v>
      </c>
      <c r="N3" s="29" t="s">
        <v>4</v>
      </c>
      <c r="O3" s="27" t="s">
        <v>21</v>
      </c>
      <c r="P3" s="43" t="s">
        <v>6</v>
      </c>
      <c r="Q3" s="27" t="s">
        <v>7</v>
      </c>
      <c r="R3" s="38" t="s">
        <v>305</v>
      </c>
      <c r="S3" s="30" t="s">
        <v>298</v>
      </c>
      <c r="T3" s="31" t="s">
        <v>303</v>
      </c>
      <c r="U3" s="31" t="s">
        <v>302</v>
      </c>
      <c r="V3" s="27" t="s">
        <v>20</v>
      </c>
      <c r="W3" s="27" t="s">
        <v>3</v>
      </c>
      <c r="X3" s="31" t="s">
        <v>301</v>
      </c>
      <c r="Y3" s="32" t="s">
        <v>304</v>
      </c>
      <c r="Z3" s="27" t="s">
        <v>5</v>
      </c>
      <c r="AA3" s="33" t="s">
        <v>300</v>
      </c>
      <c r="AB3" s="112"/>
      <c r="AC3" s="114"/>
      <c r="AD3" s="116"/>
    </row>
    <row r="4" spans="2:30" s="57" customFormat="1" ht="162.75" customHeight="1" thickBot="1" x14ac:dyDescent="0.3">
      <c r="B4" s="47">
        <v>1</v>
      </c>
      <c r="C4" s="48" t="s">
        <v>173</v>
      </c>
      <c r="D4" s="48" t="s">
        <v>222</v>
      </c>
      <c r="E4" s="49" t="s">
        <v>117</v>
      </c>
      <c r="F4" s="48"/>
      <c r="G4" s="48" t="s">
        <v>133</v>
      </c>
      <c r="H4" s="24">
        <v>0.6</v>
      </c>
      <c r="I4" s="49" t="s">
        <v>38</v>
      </c>
      <c r="J4" s="49" t="s">
        <v>223</v>
      </c>
      <c r="K4" s="49" t="s">
        <v>224</v>
      </c>
      <c r="L4" s="48" t="s">
        <v>176</v>
      </c>
      <c r="M4" s="50" t="s">
        <v>208</v>
      </c>
      <c r="N4" s="51" t="s">
        <v>346</v>
      </c>
      <c r="O4" s="48" t="s">
        <v>225</v>
      </c>
      <c r="P4" s="52" t="str">
        <f t="shared" ref="P4:P11" si="0">"از پیشپرداخت (" &amp; O4 &amp; " تاریخ انعقاد)"</f>
        <v>از پیشپرداخت (1396/12/19 تاریخ انعقاد)</v>
      </c>
      <c r="Q4" s="49" t="s">
        <v>100</v>
      </c>
      <c r="R4" s="39">
        <v>1</v>
      </c>
      <c r="S4" s="53">
        <v>2.4750000000000001</v>
      </c>
      <c r="T4" s="54">
        <v>2.4750000000000001</v>
      </c>
      <c r="U4" s="25">
        <v>4.7500000000000001E-2</v>
      </c>
      <c r="V4" s="49"/>
      <c r="W4" s="49">
        <v>624807</v>
      </c>
      <c r="X4" s="49">
        <f t="shared" ref="X4:X26" si="1">T4-U4</f>
        <v>2.4275000000000002</v>
      </c>
      <c r="Y4" s="36">
        <f t="shared" ref="Y4:Y13" si="2">U4/T4</f>
        <v>1.9191919191919191E-2</v>
      </c>
      <c r="Z4" s="49" t="s">
        <v>318</v>
      </c>
      <c r="AA4" s="55" t="s">
        <v>319</v>
      </c>
      <c r="AB4" s="56"/>
      <c r="AC4" s="48" t="s">
        <v>142</v>
      </c>
      <c r="AD4" s="102" t="s">
        <v>297</v>
      </c>
    </row>
    <row r="5" spans="2:30" s="57" customFormat="1" ht="54.75" thickBot="1" x14ac:dyDescent="0.3">
      <c r="B5" s="58">
        <v>2</v>
      </c>
      <c r="C5" s="48" t="s">
        <v>173</v>
      </c>
      <c r="D5" s="59" t="s">
        <v>226</v>
      </c>
      <c r="E5" s="60" t="s">
        <v>118</v>
      </c>
      <c r="F5" s="59"/>
      <c r="G5" s="59" t="s">
        <v>132</v>
      </c>
      <c r="H5" s="3">
        <v>0.5</v>
      </c>
      <c r="I5" s="60" t="s">
        <v>38</v>
      </c>
      <c r="J5" s="60" t="s">
        <v>227</v>
      </c>
      <c r="K5" s="60" t="s">
        <v>228</v>
      </c>
      <c r="L5" s="59" t="s">
        <v>176</v>
      </c>
      <c r="M5" s="61" t="s">
        <v>209</v>
      </c>
      <c r="N5" s="62">
        <v>12</v>
      </c>
      <c r="O5" s="59" t="s">
        <v>166</v>
      </c>
      <c r="P5" s="60" t="str">
        <f t="shared" si="0"/>
        <v>از پیشپرداخت (1397/07/11 تاریخ انعقاد)</v>
      </c>
      <c r="Q5" s="60" t="s">
        <v>100</v>
      </c>
      <c r="R5" s="63">
        <v>1</v>
      </c>
      <c r="S5" s="64">
        <v>0.7</v>
      </c>
      <c r="T5" s="65">
        <v>0.7</v>
      </c>
      <c r="U5" s="23">
        <v>0.21</v>
      </c>
      <c r="V5" s="60"/>
      <c r="W5" s="60">
        <v>624796</v>
      </c>
      <c r="X5" s="60">
        <f t="shared" si="1"/>
        <v>0.49</v>
      </c>
      <c r="Y5" s="35">
        <f t="shared" si="2"/>
        <v>0.3</v>
      </c>
      <c r="Z5" s="60" t="s">
        <v>320</v>
      </c>
      <c r="AA5" s="66" t="s">
        <v>321</v>
      </c>
      <c r="AB5" s="67"/>
      <c r="AC5" s="59" t="s">
        <v>143</v>
      </c>
      <c r="AD5" s="103"/>
    </row>
    <row r="6" spans="2:30" s="57" customFormat="1" ht="54.75" thickBot="1" x14ac:dyDescent="0.3">
      <c r="B6" s="58">
        <v>3</v>
      </c>
      <c r="C6" s="48" t="s">
        <v>173</v>
      </c>
      <c r="D6" s="59" t="s">
        <v>229</v>
      </c>
      <c r="E6" s="60" t="s">
        <v>119</v>
      </c>
      <c r="F6" s="59"/>
      <c r="G6" s="60" t="s">
        <v>137</v>
      </c>
      <c r="H6" s="3">
        <v>0.4</v>
      </c>
      <c r="I6" s="60" t="s">
        <v>38</v>
      </c>
      <c r="J6" s="60" t="s">
        <v>66</v>
      </c>
      <c r="K6" s="60" t="s">
        <v>307</v>
      </c>
      <c r="L6" s="59" t="s">
        <v>176</v>
      </c>
      <c r="M6" s="61" t="s">
        <v>177</v>
      </c>
      <c r="N6" s="62">
        <v>6</v>
      </c>
      <c r="O6" s="59" t="s">
        <v>167</v>
      </c>
      <c r="P6" s="60" t="str">
        <f t="shared" si="0"/>
        <v>از پیشپرداخت (1399/05/28 تاریخ انعقاد)</v>
      </c>
      <c r="Q6" s="60" t="s">
        <v>100</v>
      </c>
      <c r="R6" s="63">
        <v>1</v>
      </c>
      <c r="S6" s="64">
        <v>6.5780000000000003</v>
      </c>
      <c r="T6" s="65">
        <v>3.2890000000000001</v>
      </c>
      <c r="U6" s="23">
        <v>0.65780000000000005</v>
      </c>
      <c r="V6" s="60" t="s">
        <v>325</v>
      </c>
      <c r="W6" s="60">
        <v>184367</v>
      </c>
      <c r="X6" s="60">
        <f t="shared" si="1"/>
        <v>2.6312000000000002</v>
      </c>
      <c r="Y6" s="35">
        <f t="shared" si="2"/>
        <v>0.2</v>
      </c>
      <c r="Z6" s="60" t="s">
        <v>318</v>
      </c>
      <c r="AA6" s="66" t="s">
        <v>322</v>
      </c>
      <c r="AB6" s="67"/>
      <c r="AC6" s="59" t="s">
        <v>142</v>
      </c>
      <c r="AD6" s="103"/>
    </row>
    <row r="7" spans="2:30" s="57" customFormat="1" ht="54" customHeight="1" thickBot="1" x14ac:dyDescent="0.3">
      <c r="B7" s="58">
        <v>4</v>
      </c>
      <c r="C7" s="48" t="s">
        <v>173</v>
      </c>
      <c r="D7" s="59" t="s">
        <v>174</v>
      </c>
      <c r="E7" s="60" t="s">
        <v>124</v>
      </c>
      <c r="F7" s="59"/>
      <c r="G7" s="60" t="s">
        <v>140</v>
      </c>
      <c r="H7" s="3">
        <v>0.25</v>
      </c>
      <c r="I7" s="60" t="s">
        <v>33</v>
      </c>
      <c r="J7" s="60" t="s">
        <v>54</v>
      </c>
      <c r="K7" s="60" t="s">
        <v>175</v>
      </c>
      <c r="L7" s="59" t="s">
        <v>176</v>
      </c>
      <c r="M7" s="61" t="s">
        <v>177</v>
      </c>
      <c r="N7" s="62">
        <v>12</v>
      </c>
      <c r="O7" s="59" t="s">
        <v>178</v>
      </c>
      <c r="P7" s="60" t="str">
        <f t="shared" si="0"/>
        <v>از پیشپرداخت (1399/12/23 تاریخ انعقاد)</v>
      </c>
      <c r="Q7" s="60" t="s">
        <v>100</v>
      </c>
      <c r="R7" s="63">
        <v>1</v>
      </c>
      <c r="S7" s="64">
        <v>170</v>
      </c>
      <c r="T7" s="65">
        <v>85</v>
      </c>
      <c r="U7" s="23">
        <v>34</v>
      </c>
      <c r="V7" s="60" t="s">
        <v>326</v>
      </c>
      <c r="W7" s="60">
        <v>536913</v>
      </c>
      <c r="X7" s="60">
        <f t="shared" si="1"/>
        <v>51</v>
      </c>
      <c r="Y7" s="35">
        <f t="shared" si="2"/>
        <v>0.4</v>
      </c>
      <c r="Z7" s="60" t="s">
        <v>323</v>
      </c>
      <c r="AA7" s="66" t="s">
        <v>324</v>
      </c>
      <c r="AB7" s="67"/>
      <c r="AC7" s="59" t="s">
        <v>149</v>
      </c>
      <c r="AD7" s="103"/>
    </row>
    <row r="8" spans="2:30" s="57" customFormat="1" ht="54.75" thickBot="1" x14ac:dyDescent="0.3">
      <c r="B8" s="58">
        <v>5</v>
      </c>
      <c r="C8" s="48" t="s">
        <v>173</v>
      </c>
      <c r="D8" s="59" t="s">
        <v>230</v>
      </c>
      <c r="E8" s="60" t="s">
        <v>120</v>
      </c>
      <c r="F8" s="59"/>
      <c r="G8" s="60" t="s">
        <v>138</v>
      </c>
      <c r="H8" s="3">
        <v>1</v>
      </c>
      <c r="I8" s="60" t="s">
        <v>47</v>
      </c>
      <c r="J8" s="60" t="s">
        <v>231</v>
      </c>
      <c r="K8" s="60" t="s">
        <v>232</v>
      </c>
      <c r="L8" s="59" t="s">
        <v>176</v>
      </c>
      <c r="M8" s="61" t="s">
        <v>210</v>
      </c>
      <c r="N8" s="60" t="s">
        <v>211</v>
      </c>
      <c r="O8" s="59" t="s">
        <v>168</v>
      </c>
      <c r="P8" s="60" t="str">
        <f t="shared" si="0"/>
        <v>از پیشپرداخت (1400/08/10 تاریخ انعقاد)</v>
      </c>
      <c r="Q8" s="60" t="s">
        <v>100</v>
      </c>
      <c r="R8" s="63">
        <v>1</v>
      </c>
      <c r="S8" s="64">
        <v>16.835608000000001</v>
      </c>
      <c r="T8" s="65">
        <v>8.4178040000000003</v>
      </c>
      <c r="U8" s="23">
        <v>4.0152925079999999</v>
      </c>
      <c r="V8" s="60" t="s">
        <v>179</v>
      </c>
      <c r="W8" s="60">
        <v>327078</v>
      </c>
      <c r="X8" s="60">
        <f t="shared" si="1"/>
        <v>4.4025114920000004</v>
      </c>
      <c r="Y8" s="35">
        <f t="shared" si="2"/>
        <v>0.47699999999999998</v>
      </c>
      <c r="Z8" s="60" t="s">
        <v>275</v>
      </c>
      <c r="AA8" s="66">
        <v>10.555926216000001</v>
      </c>
      <c r="AB8" s="67"/>
      <c r="AC8" s="59" t="s">
        <v>144</v>
      </c>
      <c r="AD8" s="103"/>
    </row>
    <row r="9" spans="2:30" s="57" customFormat="1" ht="90.75" thickBot="1" x14ac:dyDescent="0.3">
      <c r="B9" s="58">
        <v>6</v>
      </c>
      <c r="C9" s="48" t="s">
        <v>173</v>
      </c>
      <c r="D9" s="68" t="s">
        <v>337</v>
      </c>
      <c r="E9" s="60" t="s">
        <v>276</v>
      </c>
      <c r="F9" s="59"/>
      <c r="G9" s="60" t="s">
        <v>212</v>
      </c>
      <c r="H9" s="3">
        <v>0.7</v>
      </c>
      <c r="I9" s="60" t="s">
        <v>277</v>
      </c>
      <c r="J9" s="60" t="s">
        <v>278</v>
      </c>
      <c r="K9" s="60" t="s">
        <v>234</v>
      </c>
      <c r="L9" s="59" t="s">
        <v>176</v>
      </c>
      <c r="M9" s="61" t="s">
        <v>279</v>
      </c>
      <c r="N9" s="62">
        <v>6</v>
      </c>
      <c r="O9" s="59" t="s">
        <v>280</v>
      </c>
      <c r="P9" s="60" t="str">
        <f t="shared" si="0"/>
        <v>از پیشپرداخت (1401/01/24 
و 
1400/12/01 تاریخ انعقاد)</v>
      </c>
      <c r="Q9" s="60" t="s">
        <v>100</v>
      </c>
      <c r="R9" s="63">
        <v>1</v>
      </c>
      <c r="S9" s="64">
        <v>53.97099</v>
      </c>
      <c r="T9" s="65">
        <v>44.030999999999999</v>
      </c>
      <c r="U9" s="23">
        <v>45.417999999999999</v>
      </c>
      <c r="V9" s="60" t="s">
        <v>179</v>
      </c>
      <c r="W9" s="60" t="s">
        <v>100</v>
      </c>
      <c r="X9" s="60">
        <f t="shared" si="1"/>
        <v>-1.3870000000000005</v>
      </c>
      <c r="Y9" s="69">
        <f t="shared" si="2"/>
        <v>1.0315005337148828</v>
      </c>
      <c r="Z9" s="60" t="s">
        <v>281</v>
      </c>
      <c r="AA9" s="66" t="s">
        <v>282</v>
      </c>
      <c r="AB9" s="67"/>
      <c r="AC9" s="59" t="s">
        <v>145</v>
      </c>
      <c r="AD9" s="103"/>
    </row>
    <row r="10" spans="2:30" s="57" customFormat="1" ht="54.75" thickBot="1" x14ac:dyDescent="0.3">
      <c r="B10" s="58">
        <v>7</v>
      </c>
      <c r="C10" s="48" t="s">
        <v>173</v>
      </c>
      <c r="D10" s="59" t="s">
        <v>235</v>
      </c>
      <c r="E10" s="60" t="s">
        <v>121</v>
      </c>
      <c r="F10" s="59"/>
      <c r="G10" s="60" t="s">
        <v>139</v>
      </c>
      <c r="H10" s="3">
        <v>0.8</v>
      </c>
      <c r="I10" s="60" t="s">
        <v>47</v>
      </c>
      <c r="J10" s="60" t="s">
        <v>231</v>
      </c>
      <c r="K10" s="60" t="s">
        <v>236</v>
      </c>
      <c r="L10" s="59" t="s">
        <v>176</v>
      </c>
      <c r="M10" s="61" t="s">
        <v>213</v>
      </c>
      <c r="N10" s="62">
        <v>6</v>
      </c>
      <c r="O10" s="59" t="s">
        <v>237</v>
      </c>
      <c r="P10" s="60" t="str">
        <f t="shared" si="0"/>
        <v>از پیشپرداخت (1401/06/29 تاریخ انعقاد)</v>
      </c>
      <c r="Q10" s="60" t="s">
        <v>100</v>
      </c>
      <c r="R10" s="63">
        <v>1</v>
      </c>
      <c r="S10" s="64">
        <v>39.799999999999997</v>
      </c>
      <c r="T10" s="65">
        <v>19.899999999999999</v>
      </c>
      <c r="U10" s="23">
        <f xml:space="preserve"> 5.23375 + 14.66625</f>
        <v>19.899999999999999</v>
      </c>
      <c r="V10" s="60" t="s">
        <v>179</v>
      </c>
      <c r="W10" s="60" t="s">
        <v>315</v>
      </c>
      <c r="X10" s="60">
        <f t="shared" si="1"/>
        <v>0</v>
      </c>
      <c r="Y10" s="35">
        <f t="shared" si="2"/>
        <v>1</v>
      </c>
      <c r="Z10" s="60" t="s">
        <v>283</v>
      </c>
      <c r="AA10" s="66">
        <v>3.98</v>
      </c>
      <c r="AB10" s="67"/>
      <c r="AC10" s="59" t="s">
        <v>146</v>
      </c>
      <c r="AD10" s="103"/>
    </row>
    <row r="11" spans="2:30" s="57" customFormat="1" ht="104.25" thickBot="1" x14ac:dyDescent="0.3">
      <c r="B11" s="58">
        <v>8</v>
      </c>
      <c r="C11" s="48" t="s">
        <v>173</v>
      </c>
      <c r="D11" s="59" t="s">
        <v>181</v>
      </c>
      <c r="E11" s="60" t="s">
        <v>125</v>
      </c>
      <c r="F11" s="59"/>
      <c r="G11" s="60" t="s">
        <v>140</v>
      </c>
      <c r="H11" s="3">
        <v>0.7</v>
      </c>
      <c r="I11" s="60" t="s">
        <v>33</v>
      </c>
      <c r="J11" s="60" t="s">
        <v>32</v>
      </c>
      <c r="K11" s="60" t="s">
        <v>182</v>
      </c>
      <c r="L11" s="59" t="s">
        <v>176</v>
      </c>
      <c r="M11" s="61" t="s">
        <v>183</v>
      </c>
      <c r="N11" s="62">
        <v>4</v>
      </c>
      <c r="O11" s="59" t="s">
        <v>184</v>
      </c>
      <c r="P11" s="60" t="str">
        <f t="shared" si="0"/>
        <v>از پیشپرداخت (1401/08/01 تاریخ انعقاد)</v>
      </c>
      <c r="Q11" s="60" t="s">
        <v>100</v>
      </c>
      <c r="R11" s="63">
        <v>1</v>
      </c>
      <c r="S11" s="64">
        <v>20.056000000000001</v>
      </c>
      <c r="T11" s="65">
        <v>10.028</v>
      </c>
      <c r="U11" s="23">
        <v>8.0749999999999993</v>
      </c>
      <c r="V11" s="60" t="s">
        <v>179</v>
      </c>
      <c r="W11" s="60">
        <v>180699</v>
      </c>
      <c r="X11" s="60">
        <f t="shared" si="1"/>
        <v>1.9530000000000012</v>
      </c>
      <c r="Y11" s="35">
        <f t="shared" si="2"/>
        <v>0.80524531312325476</v>
      </c>
      <c r="Z11" s="60" t="s">
        <v>284</v>
      </c>
      <c r="AA11" s="66">
        <v>1.0027999999999999</v>
      </c>
      <c r="AB11" s="67"/>
      <c r="AC11" s="59" t="s">
        <v>150</v>
      </c>
      <c r="AD11" s="103"/>
    </row>
    <row r="12" spans="2:30" s="57" customFormat="1" ht="104.25" thickBot="1" x14ac:dyDescent="0.3">
      <c r="B12" s="58">
        <v>9</v>
      </c>
      <c r="C12" s="48" t="s">
        <v>173</v>
      </c>
      <c r="D12" s="59" t="s">
        <v>238</v>
      </c>
      <c r="E12" s="60" t="s">
        <v>122</v>
      </c>
      <c r="F12" s="59"/>
      <c r="G12" s="60" t="s">
        <v>130</v>
      </c>
      <c r="H12" s="3">
        <v>0.6</v>
      </c>
      <c r="I12" s="60" t="s">
        <v>47</v>
      </c>
      <c r="J12" s="60" t="s">
        <v>239</v>
      </c>
      <c r="K12" s="60" t="s">
        <v>240</v>
      </c>
      <c r="L12" s="59" t="s">
        <v>176</v>
      </c>
      <c r="M12" s="61" t="s">
        <v>189</v>
      </c>
      <c r="N12" s="62">
        <v>10</v>
      </c>
      <c r="O12" s="59" t="s">
        <v>241</v>
      </c>
      <c r="P12" s="60" t="s">
        <v>214</v>
      </c>
      <c r="Q12" s="60" t="s">
        <v>100</v>
      </c>
      <c r="R12" s="63">
        <v>1</v>
      </c>
      <c r="S12" s="64">
        <v>30.5</v>
      </c>
      <c r="T12" s="65">
        <v>15.25</v>
      </c>
      <c r="U12" s="23">
        <v>15.25</v>
      </c>
      <c r="V12" s="60" t="s">
        <v>179</v>
      </c>
      <c r="W12" s="60">
        <v>180728</v>
      </c>
      <c r="X12" s="60">
        <f t="shared" si="1"/>
        <v>0</v>
      </c>
      <c r="Y12" s="35">
        <f t="shared" si="2"/>
        <v>1</v>
      </c>
      <c r="Z12" s="60" t="s">
        <v>285</v>
      </c>
      <c r="AA12" s="66" t="s">
        <v>286</v>
      </c>
      <c r="AB12" s="67"/>
      <c r="AC12" s="59" t="s">
        <v>147</v>
      </c>
      <c r="AD12" s="103"/>
    </row>
    <row r="13" spans="2:30" s="57" customFormat="1" ht="52.5" thickBot="1" x14ac:dyDescent="0.3">
      <c r="B13" s="58">
        <v>10</v>
      </c>
      <c r="C13" s="48" t="s">
        <v>173</v>
      </c>
      <c r="D13" s="59" t="s">
        <v>185</v>
      </c>
      <c r="E13" s="60" t="s">
        <v>126</v>
      </c>
      <c r="F13" s="59"/>
      <c r="G13" s="60" t="s">
        <v>130</v>
      </c>
      <c r="H13" s="3">
        <v>0.7</v>
      </c>
      <c r="I13" s="60" t="s">
        <v>186</v>
      </c>
      <c r="J13" s="60" t="s">
        <v>187</v>
      </c>
      <c r="K13" s="60" t="s">
        <v>188</v>
      </c>
      <c r="L13" s="59" t="s">
        <v>176</v>
      </c>
      <c r="M13" s="61" t="s">
        <v>189</v>
      </c>
      <c r="N13" s="62">
        <v>9</v>
      </c>
      <c r="O13" s="59" t="s">
        <v>190</v>
      </c>
      <c r="P13" s="60" t="s">
        <v>191</v>
      </c>
      <c r="Q13" s="60" t="s">
        <v>100</v>
      </c>
      <c r="R13" s="63">
        <v>1</v>
      </c>
      <c r="S13" s="64">
        <v>12.6</v>
      </c>
      <c r="T13" s="65">
        <v>12.6</v>
      </c>
      <c r="U13" s="23">
        <v>6.3</v>
      </c>
      <c r="V13" s="60" t="s">
        <v>179</v>
      </c>
      <c r="W13" s="60">
        <v>30506594</v>
      </c>
      <c r="X13" s="60">
        <f t="shared" si="1"/>
        <v>6.3</v>
      </c>
      <c r="Y13" s="35">
        <f t="shared" si="2"/>
        <v>0.5</v>
      </c>
      <c r="Z13" s="60" t="s">
        <v>285</v>
      </c>
      <c r="AA13" s="66" t="s">
        <v>287</v>
      </c>
      <c r="AB13" s="67"/>
      <c r="AC13" s="59" t="s">
        <v>151</v>
      </c>
      <c r="AD13" s="103"/>
    </row>
    <row r="14" spans="2:30" s="57" customFormat="1" ht="86.25" customHeight="1" thickBot="1" x14ac:dyDescent="0.3">
      <c r="B14" s="58">
        <v>11</v>
      </c>
      <c r="C14" s="48" t="s">
        <v>173</v>
      </c>
      <c r="D14" s="59" t="s">
        <v>192</v>
      </c>
      <c r="E14" s="60" t="s">
        <v>127</v>
      </c>
      <c r="F14" s="59" t="s">
        <v>193</v>
      </c>
      <c r="G14" s="60" t="s">
        <v>130</v>
      </c>
      <c r="H14" s="3">
        <v>0.4</v>
      </c>
      <c r="I14" s="60" t="s">
        <v>33</v>
      </c>
      <c r="J14" s="60" t="s">
        <v>56</v>
      </c>
      <c r="K14" s="60" t="s">
        <v>194</v>
      </c>
      <c r="L14" s="59" t="s">
        <v>176</v>
      </c>
      <c r="M14" s="61" t="s">
        <v>195</v>
      </c>
      <c r="N14" s="62">
        <v>12</v>
      </c>
      <c r="O14" s="59" t="s">
        <v>196</v>
      </c>
      <c r="P14" s="60" t="str">
        <f>"از پیشپرداخت (" &amp; O14 &amp; " تاریخ انعقاد)"</f>
        <v>از پیشپرداخت (1402/04/24 تاریخ انعقاد)</v>
      </c>
      <c r="Q14" s="60" t="s">
        <v>100</v>
      </c>
      <c r="R14" s="63">
        <v>1</v>
      </c>
      <c r="S14" s="70">
        <v>6.7</v>
      </c>
      <c r="T14" s="65">
        <v>4.1875</v>
      </c>
      <c r="U14" s="71">
        <f xml:space="preserve"> 0.37456835 + 1.34</f>
        <v>1.71456835</v>
      </c>
      <c r="V14" s="60" t="s">
        <v>347</v>
      </c>
      <c r="W14" s="60" t="s">
        <v>348</v>
      </c>
      <c r="X14" s="65">
        <f t="shared" si="1"/>
        <v>2.47293165</v>
      </c>
      <c r="Y14" s="35">
        <f>U14/T14</f>
        <v>0.40944915820895522</v>
      </c>
      <c r="Z14" s="60" t="s">
        <v>274</v>
      </c>
      <c r="AA14" s="66" t="s">
        <v>288</v>
      </c>
      <c r="AB14" s="67"/>
      <c r="AC14" s="59" t="s">
        <v>152</v>
      </c>
      <c r="AD14" s="103"/>
    </row>
    <row r="15" spans="2:30" s="57" customFormat="1" ht="69.75" thickBot="1" x14ac:dyDescent="0.3">
      <c r="B15" s="58">
        <v>12</v>
      </c>
      <c r="C15" s="48" t="s">
        <v>173</v>
      </c>
      <c r="D15" s="59" t="s">
        <v>242</v>
      </c>
      <c r="E15" s="60" t="s">
        <v>123</v>
      </c>
      <c r="F15" s="59"/>
      <c r="G15" s="60" t="s">
        <v>134</v>
      </c>
      <c r="H15" s="3">
        <v>0.9</v>
      </c>
      <c r="I15" s="60" t="s">
        <v>38</v>
      </c>
      <c r="J15" s="60" t="s">
        <v>69</v>
      </c>
      <c r="K15" s="60" t="s">
        <v>243</v>
      </c>
      <c r="L15" s="59" t="s">
        <v>215</v>
      </c>
      <c r="M15" s="61" t="s">
        <v>195</v>
      </c>
      <c r="N15" s="62">
        <v>3</v>
      </c>
      <c r="O15" s="59" t="s">
        <v>244</v>
      </c>
      <c r="P15" s="72" t="str">
        <f>"از پیشپرداخت (" &amp; O15 &amp; " تاریخ انعقاد)"</f>
        <v>از پیشپرداخت (1402/05/23 تاریخ انعقاد)</v>
      </c>
      <c r="Q15" s="60" t="s">
        <v>100</v>
      </c>
      <c r="R15" s="63">
        <v>1</v>
      </c>
      <c r="S15" s="64">
        <v>12.991</v>
      </c>
      <c r="T15" s="65">
        <v>6.4954999999999998</v>
      </c>
      <c r="U15" s="23">
        <v>4.2220000000000004</v>
      </c>
      <c r="V15" s="60" t="s">
        <v>179</v>
      </c>
      <c r="W15" s="60" t="s">
        <v>100</v>
      </c>
      <c r="X15" s="60">
        <f t="shared" si="1"/>
        <v>2.2734999999999994</v>
      </c>
      <c r="Y15" s="35">
        <f>U15/T15</f>
        <v>0.64998845354476187</v>
      </c>
      <c r="Z15" s="60" t="s">
        <v>274</v>
      </c>
      <c r="AA15" s="66" t="s">
        <v>289</v>
      </c>
      <c r="AB15" s="67"/>
      <c r="AC15" s="59" t="s">
        <v>148</v>
      </c>
      <c r="AD15" s="103"/>
    </row>
    <row r="16" spans="2:30" s="57" customFormat="1" ht="87" thickBot="1" x14ac:dyDescent="0.3">
      <c r="B16" s="58">
        <v>13</v>
      </c>
      <c r="C16" s="48" t="s">
        <v>173</v>
      </c>
      <c r="D16" s="59" t="s">
        <v>197</v>
      </c>
      <c r="E16" s="60" t="s">
        <v>128</v>
      </c>
      <c r="F16" s="59"/>
      <c r="G16" s="60" t="s">
        <v>130</v>
      </c>
      <c r="H16" s="3">
        <v>0.05</v>
      </c>
      <c r="I16" s="60" t="s">
        <v>33</v>
      </c>
      <c r="J16" s="60" t="s">
        <v>32</v>
      </c>
      <c r="K16" s="60" t="s">
        <v>198</v>
      </c>
      <c r="L16" s="59" t="s">
        <v>176</v>
      </c>
      <c r="M16" s="61" t="s">
        <v>177</v>
      </c>
      <c r="N16" s="62">
        <v>5</v>
      </c>
      <c r="O16" s="59" t="s">
        <v>199</v>
      </c>
      <c r="P16" s="49" t="str">
        <f>"از پیشپرداخت (" &amp; O16 &amp; " تاریخ انعقاد)"</f>
        <v>از پیشپرداخت (1402/08/01 تاریخ انعقاد)</v>
      </c>
      <c r="Q16" s="60" t="s">
        <v>100</v>
      </c>
      <c r="R16" s="63">
        <v>1</v>
      </c>
      <c r="S16" s="64">
        <v>17.399999999999999</v>
      </c>
      <c r="T16" s="65">
        <v>8.6999999999999993</v>
      </c>
      <c r="U16" s="23">
        <v>4.3499999999999996</v>
      </c>
      <c r="V16" s="60" t="s">
        <v>349</v>
      </c>
      <c r="W16" s="60" t="s">
        <v>350</v>
      </c>
      <c r="X16" s="65">
        <f t="shared" si="1"/>
        <v>4.3499999999999996</v>
      </c>
      <c r="Y16" s="35">
        <f>U16 / T16</f>
        <v>0.5</v>
      </c>
      <c r="Z16" s="60" t="s">
        <v>290</v>
      </c>
      <c r="AA16" s="66" t="s">
        <v>291</v>
      </c>
      <c r="AB16" s="67"/>
      <c r="AC16" s="59" t="s">
        <v>153</v>
      </c>
      <c r="AD16" s="103"/>
    </row>
    <row r="17" spans="2:31" s="57" customFormat="1" ht="54.75" thickBot="1" x14ac:dyDescent="0.3">
      <c r="B17" s="58">
        <v>14</v>
      </c>
      <c r="C17" s="48" t="s">
        <v>173</v>
      </c>
      <c r="D17" s="59" t="s">
        <v>200</v>
      </c>
      <c r="E17" s="60" t="s">
        <v>129</v>
      </c>
      <c r="F17" s="59" t="s">
        <v>201</v>
      </c>
      <c r="G17" s="59" t="s">
        <v>130</v>
      </c>
      <c r="H17" s="3">
        <v>0.7</v>
      </c>
      <c r="I17" s="60" t="s">
        <v>33</v>
      </c>
      <c r="J17" s="60" t="s">
        <v>202</v>
      </c>
      <c r="K17" s="60" t="s">
        <v>203</v>
      </c>
      <c r="L17" s="59" t="s">
        <v>176</v>
      </c>
      <c r="M17" s="59" t="s">
        <v>189</v>
      </c>
      <c r="N17" s="62">
        <v>12</v>
      </c>
      <c r="O17" s="59" t="s">
        <v>204</v>
      </c>
      <c r="P17" s="60" t="str">
        <f>"از پیشپرداخت (" &amp; O17 &amp; " تاریخ انعقاد)"</f>
        <v>از پیشپرداخت (1402/12/8 تاریخ انعقاد)</v>
      </c>
      <c r="Q17" s="60" t="s">
        <v>100</v>
      </c>
      <c r="R17" s="63">
        <v>1</v>
      </c>
      <c r="S17" s="64">
        <v>126.4</v>
      </c>
      <c r="T17" s="65">
        <v>63.2</v>
      </c>
      <c r="U17" s="23">
        <v>63.2</v>
      </c>
      <c r="V17" s="60" t="s">
        <v>179</v>
      </c>
      <c r="W17" s="60" t="s">
        <v>100</v>
      </c>
      <c r="X17" s="60">
        <f t="shared" si="1"/>
        <v>0</v>
      </c>
      <c r="Y17" s="73">
        <v>1</v>
      </c>
      <c r="Z17" s="60" t="s">
        <v>292</v>
      </c>
      <c r="AA17" s="66" t="s">
        <v>293</v>
      </c>
      <c r="AB17" s="67"/>
      <c r="AC17" s="59" t="s">
        <v>154</v>
      </c>
      <c r="AD17" s="103"/>
    </row>
    <row r="18" spans="2:31" s="57" customFormat="1" ht="108" customHeight="1" thickBot="1" x14ac:dyDescent="0.3">
      <c r="B18" s="58">
        <v>15</v>
      </c>
      <c r="C18" s="48" t="s">
        <v>173</v>
      </c>
      <c r="D18" s="59" t="s">
        <v>245</v>
      </c>
      <c r="E18" s="60" t="s">
        <v>107</v>
      </c>
      <c r="F18" s="59"/>
      <c r="G18" s="60" t="s">
        <v>130</v>
      </c>
      <c r="H18" s="3">
        <v>0.2</v>
      </c>
      <c r="I18" s="60" t="s">
        <v>233</v>
      </c>
      <c r="J18" s="60" t="s">
        <v>189</v>
      </c>
      <c r="K18" s="60" t="s">
        <v>246</v>
      </c>
      <c r="L18" s="59" t="s">
        <v>189</v>
      </c>
      <c r="M18" s="61" t="s">
        <v>176</v>
      </c>
      <c r="N18" s="62">
        <v>12</v>
      </c>
      <c r="O18" s="59" t="s">
        <v>157</v>
      </c>
      <c r="P18" s="60" t="s">
        <v>156</v>
      </c>
      <c r="Q18" s="60" t="s">
        <v>100</v>
      </c>
      <c r="R18" s="63">
        <f>6.5 / N18</f>
        <v>0.54166666666666663</v>
      </c>
      <c r="S18" s="64">
        <v>12.507999999999999</v>
      </c>
      <c r="T18" s="65">
        <v>12.507999999999999</v>
      </c>
      <c r="U18" s="22">
        <v>5.0031999999999996</v>
      </c>
      <c r="V18" s="60" t="s">
        <v>156</v>
      </c>
      <c r="W18" s="60" t="s">
        <v>100</v>
      </c>
      <c r="X18" s="65">
        <f t="shared" si="1"/>
        <v>7.5047999999999995</v>
      </c>
      <c r="Y18" s="73">
        <f xml:space="preserve"> U18 / S18</f>
        <v>0.4</v>
      </c>
      <c r="Z18" s="60" t="s">
        <v>180</v>
      </c>
      <c r="AA18" s="66" t="s">
        <v>180</v>
      </c>
      <c r="AB18" s="67" t="s">
        <v>343</v>
      </c>
      <c r="AC18" s="59" t="s">
        <v>344</v>
      </c>
      <c r="AD18" s="74"/>
    </row>
    <row r="19" spans="2:31" s="57" customFormat="1" ht="69.75" thickBot="1" x14ac:dyDescent="0.3">
      <c r="B19" s="58">
        <v>16</v>
      </c>
      <c r="C19" s="48" t="s">
        <v>173</v>
      </c>
      <c r="D19" s="59" t="s">
        <v>248</v>
      </c>
      <c r="E19" s="60" t="s">
        <v>108</v>
      </c>
      <c r="F19" s="59"/>
      <c r="G19" s="60" t="s">
        <v>130</v>
      </c>
      <c r="H19" s="3">
        <v>1</v>
      </c>
      <c r="I19" s="60" t="s">
        <v>47</v>
      </c>
      <c r="J19" s="60" t="s">
        <v>249</v>
      </c>
      <c r="K19" s="60" t="s">
        <v>250</v>
      </c>
      <c r="L19" s="59" t="s">
        <v>270</v>
      </c>
      <c r="M19" s="61" t="s">
        <v>177</v>
      </c>
      <c r="N19" s="62">
        <v>4</v>
      </c>
      <c r="O19" s="59" t="s">
        <v>251</v>
      </c>
      <c r="P19" s="60" t="s">
        <v>158</v>
      </c>
      <c r="Q19" s="60" t="s">
        <v>100</v>
      </c>
      <c r="R19" s="63">
        <v>1</v>
      </c>
      <c r="S19" s="64">
        <v>13</v>
      </c>
      <c r="T19" s="65">
        <v>6.5</v>
      </c>
      <c r="U19" s="22">
        <v>6.5</v>
      </c>
      <c r="V19" s="60" t="s">
        <v>158</v>
      </c>
      <c r="W19" s="60" t="s">
        <v>100</v>
      </c>
      <c r="X19" s="65">
        <f t="shared" si="1"/>
        <v>0</v>
      </c>
      <c r="Y19" s="73">
        <f>U19 / T19</f>
        <v>1</v>
      </c>
      <c r="Z19" s="75" t="s">
        <v>294</v>
      </c>
      <c r="AA19" s="76">
        <v>2.6</v>
      </c>
      <c r="AB19" s="67" t="s">
        <v>169</v>
      </c>
      <c r="AC19" s="59" t="s">
        <v>339</v>
      </c>
      <c r="AD19" s="74"/>
    </row>
    <row r="20" spans="2:31" s="57" customFormat="1" ht="69.75" thickBot="1" x14ac:dyDescent="0.3">
      <c r="B20" s="58">
        <v>17</v>
      </c>
      <c r="C20" s="48" t="s">
        <v>173</v>
      </c>
      <c r="D20" s="59" t="s">
        <v>252</v>
      </c>
      <c r="E20" s="60" t="s">
        <v>109</v>
      </c>
      <c r="F20" s="59" t="s">
        <v>216</v>
      </c>
      <c r="G20" s="60" t="s">
        <v>130</v>
      </c>
      <c r="H20" s="3">
        <v>0.9</v>
      </c>
      <c r="I20" s="60" t="s">
        <v>38</v>
      </c>
      <c r="J20" s="60" t="s">
        <v>37</v>
      </c>
      <c r="K20" s="60" t="s">
        <v>253</v>
      </c>
      <c r="L20" s="59" t="s">
        <v>270</v>
      </c>
      <c r="M20" s="61" t="s">
        <v>177</v>
      </c>
      <c r="N20" s="62">
        <v>2</v>
      </c>
      <c r="O20" s="59" t="s">
        <v>157</v>
      </c>
      <c r="P20" s="60" t="s">
        <v>159</v>
      </c>
      <c r="Q20" s="60" t="s">
        <v>100</v>
      </c>
      <c r="R20" s="63">
        <v>1</v>
      </c>
      <c r="S20" s="64">
        <v>3.5</v>
      </c>
      <c r="T20" s="65">
        <v>1.75</v>
      </c>
      <c r="U20" s="22"/>
      <c r="V20" s="60" t="s">
        <v>159</v>
      </c>
      <c r="W20" s="60" t="s">
        <v>100</v>
      </c>
      <c r="X20" s="65">
        <f t="shared" si="1"/>
        <v>1.75</v>
      </c>
      <c r="Y20" s="73">
        <f xml:space="preserve"> U20/ S20</f>
        <v>0</v>
      </c>
      <c r="Z20" s="75" t="s">
        <v>295</v>
      </c>
      <c r="AA20" s="76">
        <v>4.2</v>
      </c>
      <c r="AB20" s="67" t="s">
        <v>170</v>
      </c>
      <c r="AC20" s="59" t="s">
        <v>336</v>
      </c>
      <c r="AD20" s="74"/>
    </row>
    <row r="21" spans="2:31" s="57" customFormat="1" ht="104.25" thickBot="1" x14ac:dyDescent="0.3">
      <c r="B21" s="58">
        <v>18</v>
      </c>
      <c r="C21" s="48" t="s">
        <v>173</v>
      </c>
      <c r="D21" s="59" t="s">
        <v>254</v>
      </c>
      <c r="E21" s="60" t="s">
        <v>110</v>
      </c>
      <c r="F21" s="59" t="s">
        <v>217</v>
      </c>
      <c r="G21" s="60" t="s">
        <v>131</v>
      </c>
      <c r="H21" s="3">
        <v>0.65</v>
      </c>
      <c r="I21" s="60" t="s">
        <v>38</v>
      </c>
      <c r="J21" s="60" t="s">
        <v>255</v>
      </c>
      <c r="K21" s="60" t="s">
        <v>256</v>
      </c>
      <c r="L21" s="59" t="s">
        <v>270</v>
      </c>
      <c r="M21" s="61" t="s">
        <v>177</v>
      </c>
      <c r="N21" s="62">
        <v>12</v>
      </c>
      <c r="O21" s="59" t="s">
        <v>257</v>
      </c>
      <c r="P21" s="60" t="s">
        <v>160</v>
      </c>
      <c r="Q21" s="60" t="s">
        <v>100</v>
      </c>
      <c r="R21" s="40">
        <f>4.75/N21</f>
        <v>0.39583333333333331</v>
      </c>
      <c r="S21" s="64">
        <v>10.08</v>
      </c>
      <c r="T21" s="65">
        <v>5.04</v>
      </c>
      <c r="U21" s="22"/>
      <c r="V21" s="60" t="s">
        <v>160</v>
      </c>
      <c r="W21" s="60" t="s">
        <v>100</v>
      </c>
      <c r="X21" s="65">
        <f t="shared" si="1"/>
        <v>5.04</v>
      </c>
      <c r="Y21" s="73">
        <f xml:space="preserve"> U21 / T21</f>
        <v>0</v>
      </c>
      <c r="Z21" s="75" t="s">
        <v>296</v>
      </c>
      <c r="AA21" s="76">
        <v>3.024</v>
      </c>
      <c r="AB21" s="67"/>
      <c r="AC21" s="59" t="s">
        <v>340</v>
      </c>
      <c r="AD21" s="74"/>
    </row>
    <row r="22" spans="2:31" s="57" customFormat="1" ht="138.75" thickBot="1" x14ac:dyDescent="0.3">
      <c r="B22" s="58">
        <v>19</v>
      </c>
      <c r="C22" s="48" t="s">
        <v>173</v>
      </c>
      <c r="D22" s="59" t="s">
        <v>316</v>
      </c>
      <c r="E22" s="60" t="s">
        <v>111</v>
      </c>
      <c r="F22" s="59" t="s">
        <v>205</v>
      </c>
      <c r="G22" s="60" t="s">
        <v>132</v>
      </c>
      <c r="H22" s="3">
        <v>0.25</v>
      </c>
      <c r="I22" s="60" t="s">
        <v>33</v>
      </c>
      <c r="J22" s="60" t="s">
        <v>57</v>
      </c>
      <c r="K22" s="60" t="s">
        <v>206</v>
      </c>
      <c r="L22" s="59" t="s">
        <v>271</v>
      </c>
      <c r="M22" s="61" t="s">
        <v>176</v>
      </c>
      <c r="N22" s="62">
        <v>7</v>
      </c>
      <c r="O22" s="59" t="s">
        <v>207</v>
      </c>
      <c r="P22" s="60" t="s">
        <v>161</v>
      </c>
      <c r="Q22" s="60" t="s">
        <v>100</v>
      </c>
      <c r="R22" s="40">
        <f>2.5/N22</f>
        <v>0.35714285714285715</v>
      </c>
      <c r="S22" s="64">
        <v>7.25</v>
      </c>
      <c r="T22" s="65">
        <v>3.625</v>
      </c>
      <c r="U22" s="22">
        <v>2.6190000000000002</v>
      </c>
      <c r="V22" s="60" t="s">
        <v>161</v>
      </c>
      <c r="W22" s="60" t="s">
        <v>100</v>
      </c>
      <c r="X22" s="65">
        <f t="shared" si="1"/>
        <v>1.0059999999999998</v>
      </c>
      <c r="Y22" s="73">
        <f xml:space="preserve"> U22 / S22</f>
        <v>0.36124137931034483</v>
      </c>
      <c r="Z22" s="60" t="s">
        <v>311</v>
      </c>
      <c r="AA22" s="66">
        <v>11.61</v>
      </c>
      <c r="AB22" s="67"/>
      <c r="AC22" s="59" t="s">
        <v>333</v>
      </c>
      <c r="AD22" s="74"/>
    </row>
    <row r="23" spans="2:31" s="57" customFormat="1" ht="104.25" thickBot="1" x14ac:dyDescent="0.3">
      <c r="B23" s="58">
        <v>20</v>
      </c>
      <c r="C23" s="48" t="s">
        <v>173</v>
      </c>
      <c r="D23" s="59" t="s">
        <v>258</v>
      </c>
      <c r="E23" s="60" t="s">
        <v>112</v>
      </c>
      <c r="F23" s="59" t="s">
        <v>218</v>
      </c>
      <c r="G23" s="60" t="s">
        <v>133</v>
      </c>
      <c r="H23" s="3">
        <v>0.5</v>
      </c>
      <c r="I23" s="60" t="s">
        <v>38</v>
      </c>
      <c r="J23" s="60" t="s">
        <v>67</v>
      </c>
      <c r="K23" s="60" t="s">
        <v>259</v>
      </c>
      <c r="L23" s="59" t="s">
        <v>271</v>
      </c>
      <c r="M23" s="61" t="s">
        <v>176</v>
      </c>
      <c r="N23" s="62">
        <v>12</v>
      </c>
      <c r="O23" s="59" t="s">
        <v>207</v>
      </c>
      <c r="P23" s="60" t="s">
        <v>162</v>
      </c>
      <c r="Q23" s="60" t="s">
        <v>100</v>
      </c>
      <c r="R23" s="40">
        <f>(5+18/30)/N23</f>
        <v>0.46666666666666662</v>
      </c>
      <c r="S23" s="64">
        <v>10.123749999999999</v>
      </c>
      <c r="T23" s="65">
        <v>5.0618749999999997</v>
      </c>
      <c r="U23" s="22">
        <v>1.7210375</v>
      </c>
      <c r="V23" s="60" t="s">
        <v>317</v>
      </c>
      <c r="W23" s="60" t="s">
        <v>310</v>
      </c>
      <c r="X23" s="65">
        <f t="shared" si="1"/>
        <v>3.3408374999999997</v>
      </c>
      <c r="Y23" s="73">
        <f>U23 / S23</f>
        <v>0.17</v>
      </c>
      <c r="Z23" s="60" t="s">
        <v>295</v>
      </c>
      <c r="AA23" s="66">
        <v>12</v>
      </c>
      <c r="AB23" s="67"/>
      <c r="AC23" s="59" t="s">
        <v>341</v>
      </c>
      <c r="AD23" s="74"/>
    </row>
    <row r="24" spans="2:31" s="57" customFormat="1" ht="69.75" thickBot="1" x14ac:dyDescent="0.3">
      <c r="B24" s="58">
        <v>21</v>
      </c>
      <c r="C24" s="48" t="s">
        <v>173</v>
      </c>
      <c r="D24" s="59" t="s">
        <v>260</v>
      </c>
      <c r="E24" s="60" t="s">
        <v>113</v>
      </c>
      <c r="F24" s="59" t="s">
        <v>219</v>
      </c>
      <c r="G24" s="60" t="s">
        <v>134</v>
      </c>
      <c r="H24" s="3">
        <v>0.7</v>
      </c>
      <c r="I24" s="60" t="s">
        <v>38</v>
      </c>
      <c r="J24" s="60" t="s">
        <v>69</v>
      </c>
      <c r="K24" s="60" t="s">
        <v>261</v>
      </c>
      <c r="L24" s="59" t="s">
        <v>271</v>
      </c>
      <c r="M24" s="61" t="s">
        <v>176</v>
      </c>
      <c r="N24" s="62">
        <v>3</v>
      </c>
      <c r="O24" s="59" t="s">
        <v>207</v>
      </c>
      <c r="P24" s="60" t="s">
        <v>163</v>
      </c>
      <c r="Q24" s="60" t="s">
        <v>100</v>
      </c>
      <c r="R24" s="40">
        <v>1</v>
      </c>
      <c r="S24" s="64">
        <v>17</v>
      </c>
      <c r="T24" s="65">
        <v>8.5</v>
      </c>
      <c r="U24" s="22">
        <v>5.95</v>
      </c>
      <c r="V24" s="60" t="s">
        <v>163</v>
      </c>
      <c r="W24" s="60" t="s">
        <v>100</v>
      </c>
      <c r="X24" s="65">
        <f t="shared" si="1"/>
        <v>2.5499999999999998</v>
      </c>
      <c r="Y24" s="73">
        <f>U24 / S24</f>
        <v>0.35000000000000003</v>
      </c>
      <c r="Z24" s="60" t="s">
        <v>274</v>
      </c>
      <c r="AA24" s="66">
        <v>26.35</v>
      </c>
      <c r="AB24" s="67"/>
      <c r="AC24" s="59" t="s">
        <v>342</v>
      </c>
      <c r="AD24" s="74"/>
    </row>
    <row r="25" spans="2:31" s="57" customFormat="1" ht="36.75" thickBot="1" x14ac:dyDescent="0.3">
      <c r="B25" s="58">
        <v>22</v>
      </c>
      <c r="C25" s="48" t="s">
        <v>173</v>
      </c>
      <c r="D25" s="59" t="s">
        <v>262</v>
      </c>
      <c r="E25" s="60" t="s">
        <v>114</v>
      </c>
      <c r="F25" s="59" t="s">
        <v>220</v>
      </c>
      <c r="G25" s="60" t="s">
        <v>130</v>
      </c>
      <c r="H25" s="3">
        <v>0.3</v>
      </c>
      <c r="I25" s="60" t="s">
        <v>186</v>
      </c>
      <c r="J25" s="60" t="s">
        <v>52</v>
      </c>
      <c r="K25" s="60" t="s">
        <v>247</v>
      </c>
      <c r="L25" s="59" t="s">
        <v>273</v>
      </c>
      <c r="M25" s="61" t="s">
        <v>272</v>
      </c>
      <c r="N25" s="62" t="s">
        <v>155</v>
      </c>
      <c r="O25" s="59" t="s">
        <v>164</v>
      </c>
      <c r="P25" s="60" t="s">
        <v>164</v>
      </c>
      <c r="Q25" s="60" t="s">
        <v>100</v>
      </c>
      <c r="R25" s="40" t="s">
        <v>189</v>
      </c>
      <c r="S25" s="64">
        <v>100</v>
      </c>
      <c r="T25" s="65">
        <v>50</v>
      </c>
      <c r="U25" s="22">
        <v>15</v>
      </c>
      <c r="V25" s="60" t="s">
        <v>329</v>
      </c>
      <c r="W25" s="60">
        <v>147490</v>
      </c>
      <c r="X25" s="65">
        <f t="shared" si="1"/>
        <v>35</v>
      </c>
      <c r="Y25" s="73">
        <f>U25/T25</f>
        <v>0.3</v>
      </c>
      <c r="Z25" s="75" t="s">
        <v>274</v>
      </c>
      <c r="AA25" s="77">
        <v>17</v>
      </c>
      <c r="AB25" s="67"/>
      <c r="AC25" s="59" t="s">
        <v>141</v>
      </c>
      <c r="AD25" s="74"/>
    </row>
    <row r="26" spans="2:31" s="57" customFormat="1" ht="36" x14ac:dyDescent="0.25">
      <c r="B26" s="58">
        <v>23</v>
      </c>
      <c r="C26" s="48" t="s">
        <v>173</v>
      </c>
      <c r="D26" s="59" t="s">
        <v>263</v>
      </c>
      <c r="E26" s="60" t="s">
        <v>115</v>
      </c>
      <c r="F26" s="59"/>
      <c r="G26" s="60" t="s">
        <v>135</v>
      </c>
      <c r="H26" s="3">
        <v>0.35</v>
      </c>
      <c r="I26" s="60" t="s">
        <v>264</v>
      </c>
      <c r="J26" s="60" t="s">
        <v>265</v>
      </c>
      <c r="K26" s="60" t="s">
        <v>266</v>
      </c>
      <c r="L26" s="59" t="s">
        <v>221</v>
      </c>
      <c r="M26" s="61" t="s">
        <v>176</v>
      </c>
      <c r="N26" s="62">
        <v>6</v>
      </c>
      <c r="O26" s="59" t="s">
        <v>267</v>
      </c>
      <c r="P26" s="60" t="s">
        <v>165</v>
      </c>
      <c r="Q26" s="60" t="s">
        <v>100</v>
      </c>
      <c r="R26" s="40">
        <f>3.9/N26</f>
        <v>0.65</v>
      </c>
      <c r="S26" s="64">
        <v>152.50299999999999</v>
      </c>
      <c r="T26" s="65">
        <v>106.7521</v>
      </c>
      <c r="U26" s="22">
        <v>45.750900000000001</v>
      </c>
      <c r="V26" s="60" t="s">
        <v>309</v>
      </c>
      <c r="W26" s="60" t="s">
        <v>310</v>
      </c>
      <c r="X26" s="65">
        <f t="shared" si="1"/>
        <v>61.001199999999997</v>
      </c>
      <c r="Y26" s="73">
        <f>U26 / S26</f>
        <v>0.30000000000000004</v>
      </c>
      <c r="Z26" s="60" t="s">
        <v>312</v>
      </c>
      <c r="AA26" s="78">
        <v>228.75450000000001</v>
      </c>
      <c r="AB26" s="67"/>
      <c r="AC26" s="79" t="s">
        <v>345</v>
      </c>
      <c r="AD26" s="74"/>
    </row>
    <row r="27" spans="2:31" s="57" customFormat="1" ht="36" x14ac:dyDescent="0.25">
      <c r="B27" s="60">
        <v>24</v>
      </c>
      <c r="C27" s="60" t="s">
        <v>173</v>
      </c>
      <c r="D27" s="60" t="s">
        <v>268</v>
      </c>
      <c r="E27" s="60" t="s">
        <v>116</v>
      </c>
      <c r="F27" s="60" t="s">
        <v>189</v>
      </c>
      <c r="G27" s="60" t="s">
        <v>136</v>
      </c>
      <c r="H27" s="60">
        <v>0.13</v>
      </c>
      <c r="I27" s="60" t="s">
        <v>233</v>
      </c>
      <c r="J27" s="60" t="s">
        <v>189</v>
      </c>
      <c r="K27" s="60" t="s">
        <v>269</v>
      </c>
      <c r="L27" s="60" t="s">
        <v>189</v>
      </c>
      <c r="M27" s="60" t="s">
        <v>176</v>
      </c>
      <c r="N27" s="60">
        <v>6</v>
      </c>
      <c r="O27" s="60" t="s">
        <v>309</v>
      </c>
      <c r="P27" s="60" t="s">
        <v>309</v>
      </c>
      <c r="Q27" s="60"/>
      <c r="R27" s="60">
        <f>(1+24/30)/N27</f>
        <v>0.3</v>
      </c>
      <c r="S27" s="60">
        <v>287.64999999999998</v>
      </c>
      <c r="T27" s="60">
        <v>287.64999999999998</v>
      </c>
      <c r="U27" s="60">
        <f xml:space="preserve"> 50+ 50</f>
        <v>100</v>
      </c>
      <c r="V27" s="60" t="s">
        <v>313</v>
      </c>
      <c r="W27" s="60" t="s">
        <v>314</v>
      </c>
      <c r="X27" s="60">
        <f>T27-U27</f>
        <v>187.64999999999998</v>
      </c>
      <c r="Y27" s="60">
        <f>U27/S27</f>
        <v>0.34764470710933426</v>
      </c>
      <c r="Z27" s="60" t="s">
        <v>274</v>
      </c>
      <c r="AA27" s="60">
        <v>165.39875000000001</v>
      </c>
      <c r="AB27" s="60"/>
      <c r="AC27" s="60" t="s">
        <v>338</v>
      </c>
      <c r="AD27" s="60"/>
      <c r="AE27" s="60"/>
    </row>
    <row r="28" spans="2:31" s="57" customFormat="1" ht="18.75" x14ac:dyDescent="0.25">
      <c r="B28" s="80"/>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row>
    <row r="29" spans="2:31" s="57" customFormat="1" ht="18.75" x14ac:dyDescent="0.25">
      <c r="B29" s="80"/>
      <c r="C29" s="80"/>
      <c r="D29" s="80"/>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row>
    <row r="30" spans="2:31" s="57" customFormat="1" ht="18.75" x14ac:dyDescent="0.25">
      <c r="B30" s="80"/>
      <c r="C30" s="80"/>
      <c r="D30" s="80"/>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row>
    <row r="31" spans="2:31" s="57" customFormat="1" ht="18.75" x14ac:dyDescent="0.25">
      <c r="B31" s="80"/>
      <c r="C31" s="80"/>
      <c r="D31" s="80"/>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row>
    <row r="32" spans="2:31" s="57" customFormat="1" ht="18.75" x14ac:dyDescent="0.25">
      <c r="B32" s="80"/>
      <c r="C32" s="80"/>
      <c r="D32" s="80"/>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row>
    <row r="33" spans="2:30" s="57" customFormat="1" ht="18.75" x14ac:dyDescent="0.25">
      <c r="B33" s="80"/>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row>
    <row r="34" spans="2:30" s="57" customFormat="1" ht="18.75" x14ac:dyDescent="0.25">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row>
    <row r="35" spans="2:30" ht="18.75" x14ac:dyDescent="0.25">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row>
    <row r="37" spans="2:30" x14ac:dyDescent="0.25">
      <c r="U37" s="41"/>
    </row>
  </sheetData>
  <autoFilter ref="A3:AD27"/>
  <sortState ref="B4:AE27">
    <sortCondition ref="B4:B27"/>
  </sortState>
  <mergeCells count="9">
    <mergeCell ref="AD4:AD17"/>
    <mergeCell ref="B2:B3"/>
    <mergeCell ref="C2:H2"/>
    <mergeCell ref="I2:M2"/>
    <mergeCell ref="N2:R2"/>
    <mergeCell ref="S2:AA2"/>
    <mergeCell ref="AB2:AB3"/>
    <mergeCell ref="AC2:AC3"/>
    <mergeCell ref="AD2:AD3"/>
  </mergeCells>
  <conditionalFormatting sqref="S2 AB2:AD2 B2:N2 B3:AD3">
    <cfRule type="cellIs" dxfId="3" priority="17" operator="equal">
      <formula>0</formula>
    </cfRule>
  </conditionalFormatting>
  <conditionalFormatting sqref="Z28:AA34">
    <cfRule type="cellIs" dxfId="2" priority="12" operator="equal">
      <formula>0</formula>
    </cfRule>
  </conditionalFormatting>
  <pageMargins left="0.25" right="0.25" top="0.5" bottom="0.25" header="0.3" footer="0.3"/>
  <pageSetup paperSize="9" scale="2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
  <sheetViews>
    <sheetView rightToLeft="1" tabSelected="1" workbookViewId="0">
      <selection activeCell="C11" sqref="C11"/>
    </sheetView>
  </sheetViews>
  <sheetFormatPr defaultRowHeight="15" x14ac:dyDescent="0.25"/>
  <sheetData>
    <row r="1" spans="1:25" ht="15.75" thickBot="1" x14ac:dyDescent="0.3"/>
    <row r="2" spans="1:25" ht="19.5" customHeight="1" thickBot="1" x14ac:dyDescent="0.3">
      <c r="A2" s="34"/>
      <c r="B2" s="117" t="s">
        <v>0</v>
      </c>
      <c r="C2" s="119" t="s">
        <v>13</v>
      </c>
      <c r="D2" s="120"/>
      <c r="E2" s="120"/>
      <c r="F2" s="120"/>
      <c r="G2" s="120"/>
      <c r="H2" s="120"/>
      <c r="I2" s="121"/>
      <c r="J2" s="119" t="s">
        <v>10</v>
      </c>
      <c r="K2" s="120"/>
      <c r="L2" s="122"/>
      <c r="M2" s="123" t="s">
        <v>8</v>
      </c>
      <c r="N2" s="120"/>
      <c r="O2" s="120"/>
      <c r="P2" s="120"/>
      <c r="Q2" s="121"/>
      <c r="R2" s="124" t="s">
        <v>9</v>
      </c>
      <c r="S2" s="125"/>
      <c r="T2" s="125"/>
      <c r="U2" s="125"/>
      <c r="V2" s="125"/>
      <c r="W2" s="125"/>
      <c r="X2" s="125"/>
      <c r="Y2" s="111" t="s">
        <v>14</v>
      </c>
    </row>
    <row r="3" spans="1:25" ht="72.75" thickBot="1" x14ac:dyDescent="0.3">
      <c r="A3" s="34"/>
      <c r="B3" s="118"/>
      <c r="C3" s="88" t="s">
        <v>12</v>
      </c>
      <c r="D3" s="88" t="s">
        <v>24</v>
      </c>
      <c r="E3" s="88" t="s">
        <v>2</v>
      </c>
      <c r="F3" s="88" t="s">
        <v>1</v>
      </c>
      <c r="G3" s="88" t="s">
        <v>18</v>
      </c>
      <c r="H3" s="88" t="s">
        <v>361</v>
      </c>
      <c r="I3" s="89" t="s">
        <v>306</v>
      </c>
      <c r="J3" s="88" t="s">
        <v>176</v>
      </c>
      <c r="K3" s="88" t="s">
        <v>359</v>
      </c>
      <c r="L3" s="88" t="s">
        <v>16</v>
      </c>
      <c r="M3" s="90" t="s">
        <v>4</v>
      </c>
      <c r="N3" s="88" t="s">
        <v>21</v>
      </c>
      <c r="O3" s="88" t="s">
        <v>6</v>
      </c>
      <c r="P3" s="88" t="s">
        <v>7</v>
      </c>
      <c r="Q3" s="91" t="s">
        <v>305</v>
      </c>
      <c r="R3" s="92" t="s">
        <v>298</v>
      </c>
      <c r="S3" s="93" t="s">
        <v>303</v>
      </c>
      <c r="T3" s="93" t="s">
        <v>302</v>
      </c>
      <c r="U3" s="88" t="s">
        <v>20</v>
      </c>
      <c r="V3" s="88" t="s">
        <v>3</v>
      </c>
      <c r="W3" s="93" t="s">
        <v>301</v>
      </c>
      <c r="X3" s="94" t="s">
        <v>304</v>
      </c>
      <c r="Y3" s="126"/>
    </row>
    <row r="4" spans="1:25" ht="126" x14ac:dyDescent="0.25">
      <c r="A4" s="34"/>
      <c r="B4" s="81">
        <v>1</v>
      </c>
      <c r="C4" s="82" t="s">
        <v>351</v>
      </c>
      <c r="D4" s="82"/>
      <c r="E4" s="82">
        <v>6386.3453</v>
      </c>
      <c r="F4" s="52" t="s">
        <v>352</v>
      </c>
      <c r="G4" s="82" t="s">
        <v>358</v>
      </c>
      <c r="H4" s="82" t="s">
        <v>362</v>
      </c>
      <c r="I4" s="83"/>
      <c r="J4" s="52" t="s">
        <v>360</v>
      </c>
      <c r="K4" s="52"/>
      <c r="L4" s="52" t="s">
        <v>353</v>
      </c>
      <c r="M4" s="84" t="s">
        <v>356</v>
      </c>
      <c r="N4" s="82" t="s">
        <v>357</v>
      </c>
      <c r="O4" s="52" t="s">
        <v>354</v>
      </c>
      <c r="P4" s="52" t="s">
        <v>355</v>
      </c>
      <c r="Q4" s="85"/>
      <c r="R4" s="86">
        <v>99</v>
      </c>
      <c r="S4" s="86">
        <v>99</v>
      </c>
      <c r="T4" s="87"/>
      <c r="U4" s="52"/>
      <c r="V4" s="52"/>
      <c r="W4" s="81"/>
      <c r="X4" s="82"/>
      <c r="Y4" s="52"/>
    </row>
    <row r="5" spans="1:25" ht="18.75" x14ac:dyDescent="0.25">
      <c r="A5" s="57"/>
      <c r="B5" s="80">
        <v>2</v>
      </c>
      <c r="C5" s="59"/>
      <c r="D5" s="59"/>
      <c r="E5" s="59"/>
      <c r="F5" s="60"/>
      <c r="G5" s="59"/>
      <c r="H5" s="59"/>
      <c r="I5" s="3"/>
      <c r="J5" s="60"/>
      <c r="K5" s="60"/>
      <c r="L5" s="60"/>
      <c r="M5" s="62"/>
      <c r="N5" s="59"/>
      <c r="O5" s="60"/>
      <c r="P5" s="60"/>
      <c r="Q5" s="35"/>
      <c r="R5" s="65"/>
      <c r="S5" s="65"/>
      <c r="T5" s="23"/>
      <c r="U5" s="60"/>
      <c r="V5" s="60"/>
      <c r="W5" s="60"/>
      <c r="X5" s="35"/>
      <c r="Y5" s="59"/>
    </row>
  </sheetData>
  <mergeCells count="6">
    <mergeCell ref="B2:B3"/>
    <mergeCell ref="C2:I2"/>
    <mergeCell ref="J2:L2"/>
    <mergeCell ref="M2:Q2"/>
    <mergeCell ref="R2:X2"/>
    <mergeCell ref="Y2:Y3"/>
  </mergeCells>
  <conditionalFormatting sqref="R2 Y2 B2:M2 B3:Y3">
    <cfRule type="cellIs" dxfId="1" priority="1" operator="equal">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63"/>
  <sheetViews>
    <sheetView rightToLeft="1" zoomScale="115" zoomScaleNormal="115" workbookViewId="0">
      <pane xSplit="4" ySplit="2" topLeftCell="E18" activePane="bottomRight" state="frozen"/>
      <selection pane="topRight" activeCell="D1" sqref="D1"/>
      <selection pane="bottomLeft" activeCell="A2" sqref="A2"/>
      <selection pane="bottomRight" activeCell="G6" sqref="G6"/>
    </sheetView>
  </sheetViews>
  <sheetFormatPr defaultRowHeight="14.25" x14ac:dyDescent="0.25"/>
  <cols>
    <col min="1" max="1" width="1.140625" style="1" customWidth="1"/>
    <col min="2" max="2" width="5.28515625" style="1" customWidth="1"/>
    <col min="3" max="3" width="20.140625" style="1" customWidth="1"/>
    <col min="4" max="4" width="23.5703125" style="1" customWidth="1"/>
    <col min="5" max="5" width="9.140625" style="2"/>
    <col min="6" max="6" width="43" style="1" customWidth="1"/>
    <col min="7" max="7" width="30.85546875" style="1" customWidth="1"/>
    <col min="8" max="16384" width="9.140625" style="1"/>
  </cols>
  <sheetData>
    <row r="1" spans="2:7" ht="15" thickBot="1" x14ac:dyDescent="0.3"/>
    <row r="2" spans="2:7" ht="28.5" x14ac:dyDescent="0.25">
      <c r="B2" s="7" t="s">
        <v>0</v>
      </c>
      <c r="C2" s="8" t="s">
        <v>28</v>
      </c>
      <c r="D2" s="8" t="s">
        <v>29</v>
      </c>
      <c r="E2" s="9" t="s">
        <v>30</v>
      </c>
      <c r="F2" s="8" t="s">
        <v>14</v>
      </c>
      <c r="G2" s="10" t="s">
        <v>31</v>
      </c>
    </row>
    <row r="3" spans="2:7" x14ac:dyDescent="0.25">
      <c r="B3" s="11">
        <v>1</v>
      </c>
      <c r="C3" s="4" t="s">
        <v>32</v>
      </c>
      <c r="D3" s="4" t="s">
        <v>33</v>
      </c>
      <c r="E3" s="6">
        <v>1</v>
      </c>
      <c r="F3" s="4"/>
      <c r="G3" s="12" t="s">
        <v>101</v>
      </c>
    </row>
    <row r="4" spans="2:7" x14ac:dyDescent="0.25">
      <c r="B4" s="11">
        <v>2</v>
      </c>
      <c r="C4" s="4" t="s">
        <v>34</v>
      </c>
      <c r="D4" s="4" t="s">
        <v>33</v>
      </c>
      <c r="E4" s="6">
        <v>1</v>
      </c>
      <c r="F4" s="4"/>
      <c r="G4" s="12" t="s">
        <v>101</v>
      </c>
    </row>
    <row r="5" spans="2:7" x14ac:dyDescent="0.25">
      <c r="B5" s="11">
        <v>3</v>
      </c>
      <c r="C5" s="4" t="s">
        <v>35</v>
      </c>
      <c r="D5" s="4" t="s">
        <v>36</v>
      </c>
      <c r="E5" s="6">
        <v>1</v>
      </c>
      <c r="F5" s="4"/>
      <c r="G5" s="12" t="s">
        <v>101</v>
      </c>
    </row>
    <row r="6" spans="2:7" x14ac:dyDescent="0.25">
      <c r="B6" s="11">
        <v>4</v>
      </c>
      <c r="C6" s="4" t="s">
        <v>37</v>
      </c>
      <c r="D6" s="4" t="s">
        <v>38</v>
      </c>
      <c r="E6" s="6">
        <v>1</v>
      </c>
      <c r="F6" s="4"/>
      <c r="G6" s="12" t="s">
        <v>101</v>
      </c>
    </row>
    <row r="7" spans="2:7" x14ac:dyDescent="0.25">
      <c r="B7" s="11">
        <v>5</v>
      </c>
      <c r="C7" s="4" t="s">
        <v>39</v>
      </c>
      <c r="D7" s="4" t="s">
        <v>40</v>
      </c>
      <c r="E7" s="6">
        <v>1</v>
      </c>
      <c r="F7" s="4"/>
      <c r="G7" s="12" t="s">
        <v>101</v>
      </c>
    </row>
    <row r="8" spans="2:7" x14ac:dyDescent="0.25">
      <c r="B8" s="11">
        <v>6</v>
      </c>
      <c r="C8" s="4" t="s">
        <v>41</v>
      </c>
      <c r="D8" s="4" t="s">
        <v>42</v>
      </c>
      <c r="E8" s="6">
        <v>1</v>
      </c>
      <c r="F8" s="4"/>
      <c r="G8" s="12" t="s">
        <v>101</v>
      </c>
    </row>
    <row r="9" spans="2:7" x14ac:dyDescent="0.25">
      <c r="B9" s="11">
        <v>7</v>
      </c>
      <c r="C9" s="4" t="s">
        <v>43</v>
      </c>
      <c r="D9" s="4" t="s">
        <v>44</v>
      </c>
      <c r="E9" s="6">
        <v>1</v>
      </c>
      <c r="F9" s="4"/>
      <c r="G9" s="12" t="s">
        <v>101</v>
      </c>
    </row>
    <row r="10" spans="2:7" x14ac:dyDescent="0.25">
      <c r="B10" s="11">
        <v>8</v>
      </c>
      <c r="C10" s="4" t="s">
        <v>45</v>
      </c>
      <c r="D10" s="4" t="s">
        <v>40</v>
      </c>
      <c r="E10" s="6">
        <v>1</v>
      </c>
      <c r="F10" s="4"/>
      <c r="G10" s="12" t="s">
        <v>101</v>
      </c>
    </row>
    <row r="11" spans="2:7" x14ac:dyDescent="0.25">
      <c r="B11" s="11">
        <v>9</v>
      </c>
      <c r="C11" s="4" t="s">
        <v>46</v>
      </c>
      <c r="D11" s="4" t="s">
        <v>47</v>
      </c>
      <c r="E11" s="6">
        <v>1</v>
      </c>
      <c r="F11" s="4"/>
      <c r="G11" s="12" t="s">
        <v>101</v>
      </c>
    </row>
    <row r="12" spans="2:7" x14ac:dyDescent="0.25">
      <c r="B12" s="11">
        <v>10</v>
      </c>
      <c r="C12" s="4" t="s">
        <v>53</v>
      </c>
      <c r="D12" s="4" t="s">
        <v>36</v>
      </c>
      <c r="E12" s="6">
        <v>1</v>
      </c>
      <c r="F12" s="4"/>
      <c r="G12" s="12" t="s">
        <v>101</v>
      </c>
    </row>
    <row r="13" spans="2:7" ht="28.5" x14ac:dyDescent="0.25">
      <c r="B13" s="11">
        <v>11</v>
      </c>
      <c r="C13" s="4" t="s">
        <v>50</v>
      </c>
      <c r="D13" s="4" t="s">
        <v>48</v>
      </c>
      <c r="E13" s="6">
        <v>0.8</v>
      </c>
      <c r="F13" s="4"/>
      <c r="G13" s="12" t="s">
        <v>104</v>
      </c>
    </row>
    <row r="14" spans="2:7" x14ac:dyDescent="0.25">
      <c r="B14" s="11">
        <v>12</v>
      </c>
      <c r="C14" s="4" t="s">
        <v>52</v>
      </c>
      <c r="D14" s="4" t="s">
        <v>36</v>
      </c>
      <c r="E14" s="6">
        <v>1</v>
      </c>
      <c r="F14" s="4"/>
      <c r="G14" s="12" t="s">
        <v>101</v>
      </c>
    </row>
    <row r="15" spans="2:7" ht="28.5" x14ac:dyDescent="0.25">
      <c r="B15" s="11">
        <v>13</v>
      </c>
      <c r="C15" s="4" t="s">
        <v>49</v>
      </c>
      <c r="D15" s="4" t="s">
        <v>48</v>
      </c>
      <c r="E15" s="6">
        <v>0.8</v>
      </c>
      <c r="F15" s="4"/>
      <c r="G15" s="12" t="s">
        <v>104</v>
      </c>
    </row>
    <row r="16" spans="2:7" ht="28.5" x14ac:dyDescent="0.25">
      <c r="B16" s="11">
        <v>14</v>
      </c>
      <c r="C16" s="4" t="s">
        <v>64</v>
      </c>
      <c r="D16" s="4" t="s">
        <v>38</v>
      </c>
      <c r="E16" s="6">
        <v>0.8</v>
      </c>
      <c r="F16" s="4"/>
      <c r="G16" s="12" t="s">
        <v>104</v>
      </c>
    </row>
    <row r="17" spans="2:7" ht="28.5" x14ac:dyDescent="0.25">
      <c r="B17" s="11">
        <v>15</v>
      </c>
      <c r="C17" s="4" t="s">
        <v>65</v>
      </c>
      <c r="D17" s="4" t="s">
        <v>38</v>
      </c>
      <c r="E17" s="6">
        <v>0.8</v>
      </c>
      <c r="F17" s="4"/>
      <c r="G17" s="12" t="s">
        <v>104</v>
      </c>
    </row>
    <row r="18" spans="2:7" ht="28.5" x14ac:dyDescent="0.25">
      <c r="B18" s="11">
        <v>16</v>
      </c>
      <c r="C18" s="4" t="s">
        <v>59</v>
      </c>
      <c r="D18" s="4" t="s">
        <v>42</v>
      </c>
      <c r="E18" s="6">
        <v>0.8</v>
      </c>
      <c r="F18" s="4"/>
      <c r="G18" s="12" t="s">
        <v>104</v>
      </c>
    </row>
    <row r="19" spans="2:7" x14ac:dyDescent="0.25">
      <c r="B19" s="11">
        <v>17</v>
      </c>
      <c r="C19" s="4" t="s">
        <v>60</v>
      </c>
      <c r="D19" s="4" t="s">
        <v>42</v>
      </c>
      <c r="E19" s="6">
        <v>1</v>
      </c>
      <c r="F19" s="4"/>
      <c r="G19" s="12" t="s">
        <v>101</v>
      </c>
    </row>
    <row r="20" spans="2:7" ht="28.5" x14ac:dyDescent="0.25">
      <c r="B20" s="11">
        <v>18</v>
      </c>
      <c r="C20" s="4" t="s">
        <v>73</v>
      </c>
      <c r="D20" s="4" t="s">
        <v>71</v>
      </c>
      <c r="E20" s="6">
        <v>0.8</v>
      </c>
      <c r="F20" s="4"/>
      <c r="G20" s="12" t="s">
        <v>104</v>
      </c>
    </row>
    <row r="21" spans="2:7" x14ac:dyDescent="0.25">
      <c r="B21" s="11">
        <v>19</v>
      </c>
      <c r="C21" s="4" t="s">
        <v>56</v>
      </c>
      <c r="D21" s="4" t="s">
        <v>33</v>
      </c>
      <c r="E21" s="6">
        <v>1</v>
      </c>
      <c r="F21" s="4"/>
      <c r="G21" s="12" t="s">
        <v>101</v>
      </c>
    </row>
    <row r="22" spans="2:7" ht="28.5" x14ac:dyDescent="0.25">
      <c r="B22" s="11">
        <v>20</v>
      </c>
      <c r="C22" s="4" t="s">
        <v>75</v>
      </c>
      <c r="D22" s="4" t="s">
        <v>44</v>
      </c>
      <c r="E22" s="6">
        <v>0.85000000000000009</v>
      </c>
      <c r="F22" s="4"/>
      <c r="G22" s="12" t="s">
        <v>104</v>
      </c>
    </row>
    <row r="23" spans="2:7" ht="28.5" x14ac:dyDescent="0.25">
      <c r="B23" s="11">
        <v>21</v>
      </c>
      <c r="C23" s="4" t="s">
        <v>61</v>
      </c>
      <c r="D23" s="4" t="s">
        <v>42</v>
      </c>
      <c r="E23" s="6">
        <v>0.85000000000000009</v>
      </c>
      <c r="F23" s="4"/>
      <c r="G23" s="12" t="s">
        <v>104</v>
      </c>
    </row>
    <row r="24" spans="2:7" ht="28.5" x14ac:dyDescent="0.25">
      <c r="B24" s="11">
        <v>22</v>
      </c>
      <c r="C24" s="4" t="s">
        <v>62</v>
      </c>
      <c r="D24" s="4" t="s">
        <v>42</v>
      </c>
      <c r="E24" s="6">
        <v>0.8</v>
      </c>
      <c r="F24" s="4"/>
      <c r="G24" s="12" t="s">
        <v>104</v>
      </c>
    </row>
    <row r="25" spans="2:7" ht="28.5" x14ac:dyDescent="0.25">
      <c r="B25" s="11">
        <v>23</v>
      </c>
      <c r="C25" s="4" t="s">
        <v>77</v>
      </c>
      <c r="D25" s="4" t="s">
        <v>78</v>
      </c>
      <c r="E25" s="6">
        <v>0.45</v>
      </c>
      <c r="F25" s="4"/>
      <c r="G25" s="12" t="s">
        <v>102</v>
      </c>
    </row>
    <row r="26" spans="2:7" ht="28.5" x14ac:dyDescent="0.25">
      <c r="B26" s="11">
        <v>24</v>
      </c>
      <c r="C26" s="4" t="s">
        <v>74</v>
      </c>
      <c r="D26" s="4" t="s">
        <v>44</v>
      </c>
      <c r="E26" s="6">
        <v>0.85000000000000009</v>
      </c>
      <c r="F26" s="4"/>
      <c r="G26" s="12" t="s">
        <v>104</v>
      </c>
    </row>
    <row r="27" spans="2:7" x14ac:dyDescent="0.25">
      <c r="B27" s="11">
        <v>25</v>
      </c>
      <c r="C27" s="4" t="s">
        <v>55</v>
      </c>
      <c r="D27" s="4" t="s">
        <v>33</v>
      </c>
      <c r="E27" s="6">
        <v>1</v>
      </c>
      <c r="F27" s="4"/>
      <c r="G27" s="12" t="s">
        <v>101</v>
      </c>
    </row>
    <row r="28" spans="2:7" ht="28.5" x14ac:dyDescent="0.25">
      <c r="B28" s="11">
        <v>26</v>
      </c>
      <c r="C28" s="4" t="s">
        <v>63</v>
      </c>
      <c r="D28" s="4" t="s">
        <v>42</v>
      </c>
      <c r="E28" s="6">
        <v>0.8</v>
      </c>
      <c r="F28" s="4"/>
      <c r="G28" s="12" t="s">
        <v>104</v>
      </c>
    </row>
    <row r="29" spans="2:7" x14ac:dyDescent="0.25">
      <c r="B29" s="11">
        <v>27</v>
      </c>
      <c r="C29" s="4" t="s">
        <v>72</v>
      </c>
      <c r="D29" s="4" t="s">
        <v>71</v>
      </c>
      <c r="E29" s="6">
        <v>1</v>
      </c>
      <c r="F29" s="4"/>
      <c r="G29" s="12" t="s">
        <v>101</v>
      </c>
    </row>
    <row r="30" spans="2:7" ht="28.5" x14ac:dyDescent="0.25">
      <c r="B30" s="11">
        <v>28</v>
      </c>
      <c r="C30" s="4" t="s">
        <v>76</v>
      </c>
      <c r="D30" s="4" t="s">
        <v>44</v>
      </c>
      <c r="E30" s="6">
        <v>0.45</v>
      </c>
      <c r="F30" s="4"/>
      <c r="G30" s="12" t="s">
        <v>102</v>
      </c>
    </row>
    <row r="31" spans="2:7" ht="28.5" x14ac:dyDescent="0.25">
      <c r="B31" s="11">
        <v>29</v>
      </c>
      <c r="C31" s="4" t="s">
        <v>79</v>
      </c>
      <c r="D31" s="4" t="s">
        <v>40</v>
      </c>
      <c r="E31" s="6">
        <v>0.85</v>
      </c>
      <c r="F31" s="4"/>
      <c r="G31" s="12" t="s">
        <v>104</v>
      </c>
    </row>
    <row r="32" spans="2:7" ht="28.5" x14ac:dyDescent="0.25">
      <c r="B32" s="11">
        <v>30</v>
      </c>
      <c r="C32" s="4" t="s">
        <v>80</v>
      </c>
      <c r="D32" s="4" t="s">
        <v>40</v>
      </c>
      <c r="E32" s="6">
        <v>0.85</v>
      </c>
      <c r="F32" s="4"/>
      <c r="G32" s="12" t="s">
        <v>104</v>
      </c>
    </row>
    <row r="33" spans="2:7" x14ac:dyDescent="0.25">
      <c r="B33" s="11">
        <v>31</v>
      </c>
      <c r="C33" s="4" t="s">
        <v>81</v>
      </c>
      <c r="D33" s="4" t="s">
        <v>40</v>
      </c>
      <c r="E33" s="6">
        <v>1</v>
      </c>
      <c r="F33" s="4"/>
      <c r="G33" s="12" t="s">
        <v>101</v>
      </c>
    </row>
    <row r="34" spans="2:7" ht="28.5" x14ac:dyDescent="0.25">
      <c r="B34" s="11">
        <v>32</v>
      </c>
      <c r="C34" s="4" t="s">
        <v>58</v>
      </c>
      <c r="D34" s="4" t="s">
        <v>33</v>
      </c>
      <c r="E34" s="6">
        <v>0.85000000000000009</v>
      </c>
      <c r="F34" s="4"/>
      <c r="G34" s="12" t="s">
        <v>104</v>
      </c>
    </row>
    <row r="35" spans="2:7" x14ac:dyDescent="0.25">
      <c r="B35" s="11">
        <v>33</v>
      </c>
      <c r="C35" s="4" t="s">
        <v>57</v>
      </c>
      <c r="D35" s="4" t="s">
        <v>33</v>
      </c>
      <c r="E35" s="6">
        <v>1</v>
      </c>
      <c r="F35" s="4"/>
      <c r="G35" s="12" t="s">
        <v>101</v>
      </c>
    </row>
    <row r="36" spans="2:7" ht="28.5" x14ac:dyDescent="0.25">
      <c r="B36" s="11">
        <v>34</v>
      </c>
      <c r="C36" s="4" t="s">
        <v>70</v>
      </c>
      <c r="D36" s="4" t="s">
        <v>71</v>
      </c>
      <c r="E36" s="6">
        <v>0.45</v>
      </c>
      <c r="F36" s="4"/>
      <c r="G36" s="12" t="s">
        <v>102</v>
      </c>
    </row>
    <row r="37" spans="2:7" ht="28.5" x14ac:dyDescent="0.25">
      <c r="B37" s="11">
        <v>35</v>
      </c>
      <c r="C37" s="4" t="s">
        <v>83</v>
      </c>
      <c r="D37" s="4" t="s">
        <v>40</v>
      </c>
      <c r="E37" s="6">
        <v>0.85000000000000009</v>
      </c>
      <c r="F37" s="4"/>
      <c r="G37" s="12" t="s">
        <v>104</v>
      </c>
    </row>
    <row r="38" spans="2:7" ht="28.5" x14ac:dyDescent="0.25">
      <c r="B38" s="11">
        <v>36</v>
      </c>
      <c r="C38" s="4" t="s">
        <v>85</v>
      </c>
      <c r="D38" s="4" t="s">
        <v>40</v>
      </c>
      <c r="E38" s="6">
        <v>0.85000000000000009</v>
      </c>
      <c r="F38" s="4"/>
      <c r="G38" s="12" t="s">
        <v>104</v>
      </c>
    </row>
    <row r="39" spans="2:7" ht="28.5" x14ac:dyDescent="0.25">
      <c r="B39" s="11">
        <v>37</v>
      </c>
      <c r="C39" s="4" t="s">
        <v>86</v>
      </c>
      <c r="D39" s="4" t="s">
        <v>40</v>
      </c>
      <c r="E39" s="6">
        <v>0.85000000000000009</v>
      </c>
      <c r="F39" s="4"/>
      <c r="G39" s="12" t="s">
        <v>104</v>
      </c>
    </row>
    <row r="40" spans="2:7" ht="28.5" x14ac:dyDescent="0.25">
      <c r="B40" s="11">
        <v>38</v>
      </c>
      <c r="C40" s="4" t="s">
        <v>82</v>
      </c>
      <c r="D40" s="4" t="s">
        <v>47</v>
      </c>
      <c r="E40" s="6">
        <v>0.8</v>
      </c>
      <c r="F40" s="4"/>
      <c r="G40" s="12" t="s">
        <v>104</v>
      </c>
    </row>
    <row r="41" spans="2:7" ht="28.5" x14ac:dyDescent="0.25">
      <c r="B41" s="11">
        <v>39</v>
      </c>
      <c r="C41" s="4" t="s">
        <v>89</v>
      </c>
      <c r="D41" s="4" t="s">
        <v>71</v>
      </c>
      <c r="E41" s="6">
        <v>0.2</v>
      </c>
      <c r="F41" s="4"/>
      <c r="G41" s="12" t="s">
        <v>105</v>
      </c>
    </row>
    <row r="42" spans="2:7" ht="28.5" x14ac:dyDescent="0.25">
      <c r="B42" s="11">
        <v>40</v>
      </c>
      <c r="C42" s="4" t="s">
        <v>92</v>
      </c>
      <c r="D42" s="4" t="s">
        <v>71</v>
      </c>
      <c r="E42" s="6">
        <v>0.2</v>
      </c>
      <c r="F42" s="4"/>
      <c r="G42" s="12" t="s">
        <v>105</v>
      </c>
    </row>
    <row r="43" spans="2:7" ht="28.5" x14ac:dyDescent="0.25">
      <c r="B43" s="11">
        <v>41</v>
      </c>
      <c r="C43" s="4" t="s">
        <v>87</v>
      </c>
      <c r="D43" s="4" t="s">
        <v>40</v>
      </c>
      <c r="E43" s="6">
        <v>0.45</v>
      </c>
      <c r="F43" s="4"/>
      <c r="G43" s="12" t="s">
        <v>102</v>
      </c>
    </row>
    <row r="44" spans="2:7" ht="28.5" x14ac:dyDescent="0.25">
      <c r="B44" s="11">
        <v>42</v>
      </c>
      <c r="C44" s="4" t="s">
        <v>90</v>
      </c>
      <c r="D44" s="4" t="s">
        <v>91</v>
      </c>
      <c r="E44" s="6">
        <v>0.2</v>
      </c>
      <c r="F44" s="4"/>
      <c r="G44" s="12" t="s">
        <v>105</v>
      </c>
    </row>
    <row r="45" spans="2:7" ht="28.5" x14ac:dyDescent="0.25">
      <c r="B45" s="11">
        <v>43</v>
      </c>
      <c r="C45" s="4" t="s">
        <v>95</v>
      </c>
      <c r="D45" s="4" t="s">
        <v>44</v>
      </c>
      <c r="E45" s="6">
        <v>0.45</v>
      </c>
      <c r="F45" s="4"/>
      <c r="G45" s="12" t="s">
        <v>102</v>
      </c>
    </row>
    <row r="46" spans="2:7" ht="28.5" x14ac:dyDescent="0.25">
      <c r="B46" s="11">
        <v>44</v>
      </c>
      <c r="C46" s="4" t="s">
        <v>84</v>
      </c>
      <c r="D46" s="4" t="s">
        <v>40</v>
      </c>
      <c r="E46" s="6">
        <v>0.45</v>
      </c>
      <c r="F46" s="4"/>
      <c r="G46" s="12" t="s">
        <v>102</v>
      </c>
    </row>
    <row r="47" spans="2:7" ht="28.5" x14ac:dyDescent="0.25">
      <c r="B47" s="11">
        <v>45</v>
      </c>
      <c r="C47" s="4" t="s">
        <v>51</v>
      </c>
      <c r="D47" s="4" t="s">
        <v>36</v>
      </c>
      <c r="E47" s="6">
        <v>0.2</v>
      </c>
      <c r="F47" s="4"/>
      <c r="G47" s="12" t="s">
        <v>106</v>
      </c>
    </row>
    <row r="48" spans="2:7" ht="28.5" x14ac:dyDescent="0.25">
      <c r="B48" s="11">
        <v>46</v>
      </c>
      <c r="C48" s="4" t="s">
        <v>68</v>
      </c>
      <c r="D48" s="4" t="s">
        <v>38</v>
      </c>
      <c r="E48" s="6">
        <v>0.2</v>
      </c>
      <c r="F48" s="4"/>
      <c r="G48" s="12" t="s">
        <v>105</v>
      </c>
    </row>
    <row r="49" spans="2:7" ht="28.5" x14ac:dyDescent="0.25">
      <c r="B49" s="11">
        <v>47</v>
      </c>
      <c r="C49" s="4" t="s">
        <v>98</v>
      </c>
      <c r="D49" s="4" t="s">
        <v>44</v>
      </c>
      <c r="E49" s="6">
        <v>0.2</v>
      </c>
      <c r="F49" s="4"/>
      <c r="G49" s="12" t="s">
        <v>105</v>
      </c>
    </row>
    <row r="50" spans="2:7" ht="28.5" x14ac:dyDescent="0.25">
      <c r="B50" s="11">
        <v>48</v>
      </c>
      <c r="C50" s="4" t="s">
        <v>93</v>
      </c>
      <c r="D50" s="4" t="s">
        <v>40</v>
      </c>
      <c r="E50" s="6">
        <v>0.2</v>
      </c>
      <c r="F50" s="4"/>
      <c r="G50" s="12" t="s">
        <v>106</v>
      </c>
    </row>
    <row r="51" spans="2:7" ht="28.5" x14ac:dyDescent="0.25">
      <c r="B51" s="11">
        <v>49</v>
      </c>
      <c r="C51" s="4" t="s">
        <v>67</v>
      </c>
      <c r="D51" s="4" t="s">
        <v>38</v>
      </c>
      <c r="E51" s="6">
        <v>0.2</v>
      </c>
      <c r="F51" s="4"/>
      <c r="G51" s="12" t="s">
        <v>105</v>
      </c>
    </row>
    <row r="52" spans="2:7" ht="28.5" x14ac:dyDescent="0.25">
      <c r="B52" s="11">
        <v>50</v>
      </c>
      <c r="C52" s="4" t="s">
        <v>94</v>
      </c>
      <c r="D52" s="4" t="s">
        <v>40</v>
      </c>
      <c r="E52" s="6">
        <v>0.8</v>
      </c>
      <c r="F52" s="4"/>
      <c r="G52" s="12" t="s">
        <v>104</v>
      </c>
    </row>
    <row r="53" spans="2:7" ht="28.5" x14ac:dyDescent="0.25">
      <c r="B53" s="11">
        <v>51</v>
      </c>
      <c r="C53" s="4" t="s">
        <v>97</v>
      </c>
      <c r="D53" s="4" t="s">
        <v>47</v>
      </c>
      <c r="E53" s="6">
        <v>0.45</v>
      </c>
      <c r="F53" s="4"/>
      <c r="G53" s="12" t="s">
        <v>102</v>
      </c>
    </row>
    <row r="54" spans="2:7" ht="28.5" x14ac:dyDescent="0.25">
      <c r="B54" s="11">
        <v>52</v>
      </c>
      <c r="C54" s="4" t="s">
        <v>88</v>
      </c>
      <c r="D54" s="4" t="s">
        <v>71</v>
      </c>
      <c r="E54" s="6">
        <v>0.2</v>
      </c>
      <c r="F54" s="4"/>
      <c r="G54" s="12" t="s">
        <v>105</v>
      </c>
    </row>
    <row r="55" spans="2:7" ht="42.75" x14ac:dyDescent="0.25">
      <c r="B55" s="11">
        <v>53</v>
      </c>
      <c r="C55" s="4" t="s">
        <v>99</v>
      </c>
      <c r="D55" s="4" t="s">
        <v>33</v>
      </c>
      <c r="E55" s="6">
        <v>0.65</v>
      </c>
      <c r="F55" s="4"/>
      <c r="G55" s="12" t="s">
        <v>335</v>
      </c>
    </row>
    <row r="56" spans="2:7" ht="42.75" x14ac:dyDescent="0.25">
      <c r="B56" s="11">
        <v>54</v>
      </c>
      <c r="C56" s="4" t="s">
        <v>54</v>
      </c>
      <c r="D56" s="4" t="s">
        <v>33</v>
      </c>
      <c r="E56" s="6">
        <v>0.65</v>
      </c>
      <c r="F56" s="4"/>
      <c r="G56" s="12" t="s">
        <v>335</v>
      </c>
    </row>
    <row r="57" spans="2:7" ht="28.5" x14ac:dyDescent="0.25">
      <c r="B57" s="11">
        <v>55</v>
      </c>
      <c r="C57" s="4" t="s">
        <v>96</v>
      </c>
      <c r="D57" s="4" t="s">
        <v>47</v>
      </c>
      <c r="E57" s="6">
        <v>0.2</v>
      </c>
      <c r="F57" s="4"/>
      <c r="G57" s="12" t="s">
        <v>105</v>
      </c>
    </row>
    <row r="58" spans="2:7" ht="28.5" x14ac:dyDescent="0.25">
      <c r="B58" s="11">
        <v>56</v>
      </c>
      <c r="C58" s="4" t="s">
        <v>327</v>
      </c>
      <c r="D58" s="4" t="s">
        <v>47</v>
      </c>
      <c r="E58" s="6">
        <v>0.2</v>
      </c>
      <c r="F58" s="4"/>
      <c r="G58" s="12" t="s">
        <v>106</v>
      </c>
    </row>
    <row r="59" spans="2:7" ht="28.5" x14ac:dyDescent="0.25">
      <c r="B59" s="11">
        <v>57</v>
      </c>
      <c r="C59" s="4" t="s">
        <v>308</v>
      </c>
      <c r="D59" s="4" t="s">
        <v>44</v>
      </c>
      <c r="E59" s="6">
        <v>0.2</v>
      </c>
      <c r="F59" s="4"/>
      <c r="G59" s="12" t="s">
        <v>105</v>
      </c>
    </row>
    <row r="60" spans="2:7" ht="28.5" x14ac:dyDescent="0.25">
      <c r="B60" s="11">
        <v>58</v>
      </c>
      <c r="C60" s="4" t="s">
        <v>328</v>
      </c>
      <c r="D60" s="4" t="s">
        <v>44</v>
      </c>
      <c r="E60" s="6">
        <v>0.2</v>
      </c>
      <c r="F60" s="4"/>
      <c r="G60" s="12" t="s">
        <v>105</v>
      </c>
    </row>
    <row r="61" spans="2:7" ht="28.5" x14ac:dyDescent="0.25">
      <c r="B61" s="11">
        <v>59</v>
      </c>
      <c r="C61" s="4" t="s">
        <v>330</v>
      </c>
      <c r="D61" s="4" t="s">
        <v>44</v>
      </c>
      <c r="E61" s="6">
        <v>0.2</v>
      </c>
      <c r="F61" s="4"/>
      <c r="G61" s="12" t="s">
        <v>105</v>
      </c>
    </row>
    <row r="62" spans="2:7" ht="28.5" x14ac:dyDescent="0.25">
      <c r="B62" s="11">
        <v>60</v>
      </c>
      <c r="C62" s="4" t="s">
        <v>331</v>
      </c>
      <c r="D62" s="4" t="s">
        <v>332</v>
      </c>
      <c r="E62" s="6">
        <v>0.1</v>
      </c>
      <c r="F62" s="4"/>
      <c r="G62" s="12" t="s">
        <v>103</v>
      </c>
    </row>
    <row r="63" spans="2:7" ht="29.25" thickBot="1" x14ac:dyDescent="0.3">
      <c r="B63" s="13">
        <v>61</v>
      </c>
      <c r="C63" s="14" t="s">
        <v>334</v>
      </c>
      <c r="D63" s="14" t="s">
        <v>40</v>
      </c>
      <c r="E63" s="15">
        <v>0.1</v>
      </c>
      <c r="F63" s="14"/>
      <c r="G63" s="16" t="s">
        <v>103</v>
      </c>
    </row>
  </sheetData>
  <autoFilter ref="B2:G63"/>
  <conditionalFormatting sqref="C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طرح های در دست بررسی</vt:lpstr>
      <vt:lpstr>تبادل فناوری</vt:lpstr>
      <vt:lpstr>آموزشی-پژوهشی</vt:lpstr>
      <vt:lpstr>سندهای فرصت‌های تحقیق و توسعه</vt:lpstr>
      <vt:lpstr>'تبادل فناوری'!Print_Titles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Norouzirad;Vida</dc:creator>
  <cp:lastModifiedBy>Norouzirad ; Vida</cp:lastModifiedBy>
  <cp:lastPrinted>2026-01-13T06:31:35Z</cp:lastPrinted>
  <dcterms:created xsi:type="dcterms:W3CDTF">2025-04-23T03:27:01Z</dcterms:created>
  <dcterms:modified xsi:type="dcterms:W3CDTF">2026-07-14T07:04:51Z</dcterms:modified>
</cp:coreProperties>
</file>