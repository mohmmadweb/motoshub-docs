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Y:\Noavar\Project Charter\NF-1404-1051\"/>
    </mc:Choice>
  </mc:AlternateContent>
  <xr:revisionPtr revIDLastSave="0" documentId="13_ncr:1_{D0CD49A6-45CD-45B8-88F4-1E0F65D9D5E2}" xr6:coauthVersionLast="47" xr6:coauthVersionMax="47" xr10:uidLastSave="{00000000-0000-0000-0000-000000000000}"/>
  <bookViews>
    <workbookView xWindow="-120" yWindow="-120" windowWidth="20730" windowHeight="11160" xr2:uid="{00000000-000D-0000-FFFF-FFFF00000000}"/>
  </bookViews>
  <sheets>
    <sheet name="شناسنامه پروژه" sheetId="3" r:id="rId1"/>
    <sheet name="گانت چارت" sheetId="6" r:id="rId2"/>
    <sheet name="گام نمای فعالیت های صندوق" sheetId="4" r:id="rId3"/>
    <sheet name="Statuses" sheetId="5" r:id="rId4"/>
  </sheets>
  <definedNames>
    <definedName name="_xlnm._FilterDatabase" localSheetId="0" hidden="1">'شناسنامه پروژه'!$C$6:$D$20</definedName>
    <definedName name="_Hlk203292118" localSheetId="1">'گانت چارت'!#REF!</definedName>
    <definedName name="_Hlk203292131" localSheetId="1">'گانت چارت'!#REF!</definedName>
    <definedName name="_Hlk203292144" localSheetId="1">'گانت چارت'!#REF!</definedName>
    <definedName name="_Hlk203292157" localSheetId="1">'گانت چارت'!#REF!</definedName>
    <definedName name="_Hlk203292174" localSheetId="1">'گانت چارت'!#REF!</definedName>
    <definedName name="_Hlk203292190" localSheetId="1">'گانت چارت'!#REF!</definedName>
    <definedName name="_Hlk203385249" localSheetId="1">'گانت چارت'!#REF!</definedName>
    <definedName name="_Hlk203385269" localSheetId="1">'گانت چارت'!#REF!</definedName>
    <definedName name="_Hlk203385287" localSheetId="1">'گانت چارت'!#REF!</definedName>
    <definedName name="_Hlk203385306" localSheetId="1">'گانت چارت'!#REF!</definedName>
    <definedName name="_Hlk203385323" localSheetId="1">'گانت چارت'!#REF!</definedName>
    <definedName name="_Hlk203386244" localSheetId="1">'گانت چارت'!#REF!</definedName>
    <definedName name="_Hlk203386282" localSheetId="1">'گانت چارت'!#REF!</definedName>
    <definedName name="_Hlk203386333" localSheetId="1">'گانت چارت'!#REF!</definedName>
    <definedName name="_Hlk203472625" localSheetId="1">'گانت چارت'!$B$4</definedName>
    <definedName name="_Hlk203472715" localSheetId="1">'گانت چارت'!$B$5</definedName>
    <definedName name="_Hlk203472783" localSheetId="1">'گانت چارت'!$B$6</definedName>
    <definedName name="_Hlk203472817" localSheetId="1">'گانت چارت'!$B$7</definedName>
    <definedName name="_Hlk203472951" localSheetId="1">'گانت چارت'!$B$8</definedName>
    <definedName name="_Hlk203473077" localSheetId="1">'گانت چارت'!$B$10</definedName>
    <definedName name="_Hlk203473152" localSheetId="1">'گانت چارت'!$B$12</definedName>
    <definedName name="_Hlk203473189" localSheetId="1">'گانت چارت'!$B$13</definedName>
    <definedName name="_Hlk203473262" localSheetId="1">'گانت چارت'!$B$15</definedName>
    <definedName name="_Hlk203473335" localSheetId="1">'گانت چارت'!$B$17</definedName>
    <definedName name="_Hlk203473384" localSheetId="1">'گانت چارت'!$B$18</definedName>
    <definedName name="_Hlk203473419" localSheetId="1">'گانت چارت'!$B$20</definedName>
    <definedName name="_Hlk203473481" localSheetId="1">'گانت چارت'!$B$21</definedName>
    <definedName name="_Hlk203473522" localSheetId="1">'گانت چارت'!$B$22</definedName>
    <definedName name="_Hlk204005224" localSheetId="1">'گانت چارت'!#REF!</definedName>
    <definedName name="_Hlk204005676" localSheetId="1">'گانت چارت'!#REF!</definedName>
    <definedName name="_Hlk204005727" localSheetId="1">'گانت چارت'!#REF!</definedName>
    <definedName name="_Hlk204005753" localSheetId="1">'گانت چارت'!#REF!</definedName>
    <definedName name="_Hlk204005920" localSheetId="1">'گانت چارت'!#REF!</definedName>
    <definedName name="_Hlk204005948" localSheetId="1">'گانت چارت'!#REF!</definedName>
    <definedName name="_Hlk204005966" localSheetId="1">'گانت چارت'!#REF!</definedName>
    <definedName name="_Hlk204006000" localSheetId="1">'گانت چارت'!#REF!</definedName>
    <definedName name="_Hlk204006010" localSheetId="1">'گانت چارت'!#REF!</definedName>
    <definedName name="_Hlk204082044" localSheetId="1">'گانت چارت'!#REF!</definedName>
    <definedName name="_Hlk204082061" localSheetId="1">'گانت چارت'!#REF!</definedName>
    <definedName name="_Hlk204082114" localSheetId="1">'گانت چارت'!#REF!</definedName>
    <definedName name="_Hlk204082256" localSheetId="1">'گانت چارت'!#REF!</definedName>
    <definedName name="_Hlk204082263" localSheetId="1">'گانت چارت'!#REF!</definedName>
    <definedName name="_Hlk204082275" localSheetId="1">'گانت چارت'!#REF!</definedName>
    <definedName name="_Hlk204082285" localSheetId="1">'گانت چارت'!#REF!</definedName>
    <definedName name="_Hlk204082299" localSheetId="1">'گانت چارت'!#REF!</definedName>
    <definedName name="_Hlk204082313" localSheetId="1">'گانت چارت'!#REF!</definedName>
    <definedName name="_Hlk204083754" localSheetId="1">'گانت چارت'!#REF!</definedName>
    <definedName name="_Hlk204083870" localSheetId="1">'گانت چارت'!#REF!</definedName>
    <definedName name="_Hlk204083957" localSheetId="1">'گانت چارت'!#REF!</definedName>
    <definedName name="_Hlk204084057" localSheetId="1">'گانت چارت'!#REF!</definedName>
    <definedName name="_Hlk204084238" localSheetId="1">'گانت چارت'!#REF!</definedName>
    <definedName name="_Hlk204084310" localSheetId="1">'گانت چارت'!#REF!</definedName>
    <definedName name="_Hlk204084361" localSheetId="1">'گانت چارت'!#REF!</definedName>
    <definedName name="_Hlk204084455" localSheetId="1">'گانت چارت'!#REF!</definedName>
    <definedName name="_Hlk204084591" localSheetId="1">'گانت چارت'!#REF!</definedName>
    <definedName name="_Hlk204084622" localSheetId="1">'گانت چارت'!#REF!</definedName>
    <definedName name="_Hlk204084654" localSheetId="1">'گانت چارت'!#REF!</definedName>
    <definedName name="_Hlk204084713" localSheetId="1">'گانت چارت'!#REF!</definedName>
    <definedName name="_Hlk204091100" localSheetId="1">'گانت چارت'!#REF!</definedName>
    <definedName name="_Hlk204091622" localSheetId="1">'گانت چارت'!#REF!</definedName>
    <definedName name="_Hlk204091640" localSheetId="1">'گانت چارت'!#REF!</definedName>
    <definedName name="_Hlk204091797" localSheetId="1">'گانت چارت'!#REF!</definedName>
    <definedName name="_Hlk204091826" localSheetId="1">'گانت چارت'!#REF!</definedName>
    <definedName name="_Hlk204091835" localSheetId="1">'گانت چارت'!#REF!</definedName>
    <definedName name="_Hlk204442198" localSheetId="1">'گانت چارت'!#REF!</definedName>
    <definedName name="_Hlk204442518" localSheetId="1">'گانت چارت'!#REF!</definedName>
    <definedName name="_Hlk204509624" localSheetId="1">'گانت چارت'!#REF!</definedName>
    <definedName name="_Hlk204509643" localSheetId="1">'گانت چارت'!#REF!</definedName>
    <definedName name="_Hlk204509663" localSheetId="1">'گانت چارت'!#REF!</definedName>
    <definedName name="_Hlk204509678" localSheetId="1">'گانت چارت'!#REF!</definedName>
    <definedName name="_Hlk204509691" localSheetId="1">'گانت چارت'!#REF!</definedName>
    <definedName name="_Hlk205684523" localSheetId="1">'گانت چارت'!#REF!</definedName>
    <definedName name="_Hlk205684646" localSheetId="1">'گانت چارت'!#REF!</definedName>
    <definedName name="_Hlk205684862" localSheetId="1">'گانت چارت'!#REF!</definedName>
    <definedName name="_Hlk205685251" localSheetId="1">'گانت چارت'!#REF!</definedName>
    <definedName name="_Hlk205685305" localSheetId="1">'گانت چارت'!#REF!</definedName>
    <definedName name="_Hlk205685384" localSheetId="1">'گانت چارت'!#REF!</definedName>
    <definedName name="_Hlk205694263" localSheetId="1">'گانت چارت'!#REF!</definedName>
    <definedName name="_Hlk205694310" localSheetId="1">'گانت چارت'!#REF!</definedName>
    <definedName name="_Hlk205979675" localSheetId="1">'گانت چارت'!#REF!</definedName>
    <definedName name="_Hlk205979763" localSheetId="1">'گانت چارت'!#REF!</definedName>
    <definedName name="_Hlk205979774" localSheetId="1">'گانت چارت'!#REF!</definedName>
    <definedName name="_Hlk205979903" localSheetId="1">'گانت چارت'!#REF!</definedName>
    <definedName name="_Hlk205979955" localSheetId="1">'گانت چارت'!#REF!</definedName>
    <definedName name="_Hlk205979972" localSheetId="1">'گانت چارت'!#REF!</definedName>
    <definedName name="_Hlk205979981" localSheetId="1">'گانت چارت'!#REF!</definedName>
    <definedName name="_Hlk205979992" localSheetId="1">'گانت چارت'!#REF!</definedName>
    <definedName name="_Hlk205980004" localSheetId="1">'گانت چارت'!#REF!</definedName>
    <definedName name="_Hlk205980019" localSheetId="1">'گانت چارت'!#REF!</definedName>
    <definedName name="_Hlk205980030" localSheetId="1">'گانت چارت'!#REF!</definedName>
    <definedName name="_Hlk205980043" localSheetId="1">'گانت چارت'!#REF!</definedName>
    <definedName name="_Hlk205980053" localSheetId="1">'گانت چارت'!#REF!</definedName>
    <definedName name="_Hlk206195658" localSheetId="1">'گانت چارت'!#REF!</definedName>
    <definedName name="_Hlk206196263" localSheetId="1">'گانت چارت'!#REF!</definedName>
    <definedName name="ارزیابی_اولیه">Statuses!$C$2:$C$11</definedName>
    <definedName name="ارزیابی_موشکافانه">Statuses!$D$2:$D$13</definedName>
    <definedName name="تصویب_طرح">Statuses!$E$2:$E$12</definedName>
    <definedName name="تنظیم_قرارداد">Statuses!$F$2:$F$17</definedName>
    <definedName name="خروج_از_صندوق">Statuses!$H$2:$H$26</definedName>
    <definedName name="دریافت_پروپوزال">Statuses!$B$2:$B$5</definedName>
    <definedName name="گام_اصلی">Statuses!$A$2:$A$9</definedName>
    <definedName name="مسیر_سبز">Statuses!$I$1:$I$15</definedName>
    <definedName name="نظارت_و_راهبری">Statuses!$G$2:$G$19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8" i="3" l="1"/>
  <c r="D74" i="3"/>
  <c r="D38" i="3"/>
  <c r="D42" i="3"/>
  <c r="D60" i="3"/>
  <c r="D66" i="3"/>
  <c r="D65" i="3"/>
</calcChain>
</file>

<file path=xl/sharedStrings.xml><?xml version="1.0" encoding="utf-8"?>
<sst xmlns="http://schemas.openxmlformats.org/spreadsheetml/2006/main" count="301" uniqueCount="256">
  <si>
    <t>شناسنامه پروژه</t>
  </si>
  <si>
    <t xml:space="preserve">کد یکتا </t>
  </si>
  <si>
    <t xml:space="preserve">مجری </t>
  </si>
  <si>
    <t>عنوان فارسی  (FA)</t>
  </si>
  <si>
    <t>عنوان انگلیسی  (EN)</t>
  </si>
  <si>
    <t>مبلغ  (میلیون ریال)</t>
  </si>
  <si>
    <t xml:space="preserve">           اطلاعات عمومی پروژه</t>
  </si>
  <si>
    <t>آدرس</t>
  </si>
  <si>
    <t>تعداد اعضای تیم</t>
  </si>
  <si>
    <t>نام اعضای تیم</t>
  </si>
  <si>
    <t>استان محل استقرار اصلی</t>
  </si>
  <si>
    <t>نوع مجری</t>
  </si>
  <si>
    <t>صاحبین امضا</t>
  </si>
  <si>
    <t>شهر محل استقرار</t>
  </si>
  <si>
    <t>مدت زمان پروژه (ماه)</t>
  </si>
  <si>
    <t xml:space="preserve">            مشخات تیم مجری</t>
  </si>
  <si>
    <t xml:space="preserve">            اطلاعات زمان بندی</t>
  </si>
  <si>
    <t>تاریخ شروع برنامه ریزی شده</t>
  </si>
  <si>
    <t>تاریخ پایان برنامه ریزی شده</t>
  </si>
  <si>
    <t>تاریخ شروع واقعی</t>
  </si>
  <si>
    <t>تاریخ پایان واقعی</t>
  </si>
  <si>
    <t>وضعیت فعلی</t>
  </si>
  <si>
    <t>ایمیل</t>
  </si>
  <si>
    <t>تلفن 1</t>
  </si>
  <si>
    <t>تلفن 2</t>
  </si>
  <si>
    <t>تلفن 3</t>
  </si>
  <si>
    <t xml:space="preserve">            اطلاعات مالی</t>
  </si>
  <si>
    <t>مبلغ تایید شده بر اساس پیشرفت پروژه</t>
  </si>
  <si>
    <t>مبلغ پرداخت شده به مجری</t>
  </si>
  <si>
    <t>مبلغ در انتظار پرداخت</t>
  </si>
  <si>
    <t>مدیر پروژه</t>
  </si>
  <si>
    <t>سهم دانشمند از تامین مالی پروژه</t>
  </si>
  <si>
    <t>سایر حامیان مالی</t>
  </si>
  <si>
    <t xml:space="preserve">سهم سایر حامیان مالی در تامین مالی </t>
  </si>
  <si>
    <t>گام اصلی</t>
  </si>
  <si>
    <t>توضیح</t>
  </si>
  <si>
    <t>دریافت پروپوزال</t>
  </si>
  <si>
    <t>ارزیابی اولیه</t>
  </si>
  <si>
    <t>ارزیابی موشکافانه</t>
  </si>
  <si>
    <t>تصویب طرح</t>
  </si>
  <si>
    <t>تنظیم قرارداد</t>
  </si>
  <si>
    <t>نظارت و راهبری</t>
  </si>
  <si>
    <t>خروج از صندوق</t>
  </si>
  <si>
    <t>طرح اصلاح شده دریافت شده است</t>
  </si>
  <si>
    <t>تایید شکلی مستندات و برای ورود به ارزیابی اولیه به کارشناس مربوطه ارجاع شد</t>
  </si>
  <si>
    <t>طرح دریافت شده  و ضمن ایجاد شناسنامه پروژه، به آن کد تخصیص داده شده است</t>
  </si>
  <si>
    <t>طرح جهت ارزیابی اولیه دریافت شده است.</t>
  </si>
  <si>
    <t>پرامپت ارزیابی اولیه اجرا و گزارش ارزیابی آماده شده است.</t>
  </si>
  <si>
    <t>TRL طرح با TRL هدف صندوق نوآور مغایر بوده و طرح به کمیته سرمایه گذاری صندوق ارجاع شده است</t>
  </si>
  <si>
    <t>نیازمند جلسه حضوری/مجازی با تیم و تاریخ جلسه مشخص شده است.</t>
  </si>
  <si>
    <t>جلسه با تیم برگزار شد.</t>
  </si>
  <si>
    <t>طرح قابلیت پذیرش نداشته و رد درخواست به تیم پژوهشی اعلام شده است.</t>
  </si>
  <si>
    <t>طرح نیاز به اصلاح دارد و اصلاحات به تیم اعلام شده است (در انتظار دریافت طرح اصلاح شده)</t>
  </si>
  <si>
    <t>مستندات بررسی شده و اصلاحات به تیم مجری اعلام شده است (در انتظار دریافت طرح اصلاح شده)</t>
  </si>
  <si>
    <t xml:space="preserve">طرح در ارزیابی اولیه حد نصاب کافی را کسب کرده و طرح به همراه گزارش ارزیابی اولیه برای شروع ارزیابی موشکافانه ارسال شده است. </t>
  </si>
  <si>
    <t xml:space="preserve">در حال تعیین تیم داوری/راهبری/ناظر </t>
  </si>
  <si>
    <t>طرح تحت بررسی توسط داور/راهبر/ناظر است</t>
  </si>
  <si>
    <t>با توجه به گذشت زمان و عدم ارسال نتیجه بررسی برای داور/داوران دارای تاخیر یادآوری ارسال شده است</t>
  </si>
  <si>
    <t>در حال جمع بندی و تهیه گزارش ازریابی موشکافانه</t>
  </si>
  <si>
    <t>طرح نیازمند اصلاح بوده و اصلاحات به مجری اعلام شده است (در انتظار دریافت طرح اصلاح شده)</t>
  </si>
  <si>
    <t>طرح اصلاح شده دریافت شده است.</t>
  </si>
  <si>
    <t>گزارش ارزیابی اولیه تهیه شده و برای کارگروه ارزیابی صندوق ارسال شده است.</t>
  </si>
  <si>
    <t>در انتظار تصمیم گیری توسط کارگروه ارزیابی</t>
  </si>
  <si>
    <t>طرح در مرحلع ارزیابی موشکافانه تایید شده و آماده تصویب در هیئت مدیره موسسه می باشد.</t>
  </si>
  <si>
    <t>طرح برای داور/راهبر/ناظر ارسال شده است</t>
  </si>
  <si>
    <t>نتیجه تمامی داوران دریافت شده است.</t>
  </si>
  <si>
    <t>طرح برای تصویب در شورای راهبری دریافت شده است</t>
  </si>
  <si>
    <t xml:space="preserve">طرح در دستور جلسه شورای راهبری قرار گرفته است </t>
  </si>
  <si>
    <t>طرح مورد تایید شورای راهبری قرار رفته است.</t>
  </si>
  <si>
    <t>طرح در دستور جلسه هیئت مدیره قرار گرفته است.</t>
  </si>
  <si>
    <t>طرح در هیئت مدیره تصویب شد</t>
  </si>
  <si>
    <t>طرح در شورای راهبری رد و به تیم اطلاع رسانی شد</t>
  </si>
  <si>
    <t>طرح در هیئت مدیره رد و به تیم اطلاع رسانی شد</t>
  </si>
  <si>
    <t>بر اساس نظر شورای راهبری طرح نیازمند اصلاح مختصر است (در انتظار دریافت طرح اصلاح شده و برگشت به شورای راهبری)</t>
  </si>
  <si>
    <t>بر اساس نظر هیئت مدیره طرح نیازمند اصلاح مختصر است (در انتظار دریافت طرح اصلاح شده و برگشت به شورای راهبری)</t>
  </si>
  <si>
    <t>طرح جهت ارزیابی موشکلفانه دریافت شده است</t>
  </si>
  <si>
    <t>مصوبه هیئت مدیره جهت تنظیم قرارداد دریافت شده است</t>
  </si>
  <si>
    <t>تیپ قرارداد مشخص و برای مجری ارسال شد</t>
  </si>
  <si>
    <t>در انتظار دریافت مشخصات و اطلاعات مورد نیاز قرارداد از سوی مجری و/یا راهبر</t>
  </si>
  <si>
    <t>تمامی اطلاعات جهت تنظیم قرارداد دریافت شده است</t>
  </si>
  <si>
    <t>امضای مجری تکمیل شده است</t>
  </si>
  <si>
    <t>امضای راهبر تکمیل شده است</t>
  </si>
  <si>
    <t>برای امضای صاحبین امضای موسسه ارسال شده است</t>
  </si>
  <si>
    <t>امضای مدیرعامل اخذ شده است</t>
  </si>
  <si>
    <t>امضای عضو هیئت مدیره اخذ شده است</t>
  </si>
  <si>
    <t>تمامی امضاها اخذ شده است در انتظار تخصیص شماره نامه</t>
  </si>
  <si>
    <t>شماره نامه تخصیص و فایل ارسال شده است</t>
  </si>
  <si>
    <t>نسخه راهبر تحویل شده است</t>
  </si>
  <si>
    <t>نسخه مجری تحویل شده است</t>
  </si>
  <si>
    <t>قرارداد تنظیم شده است</t>
  </si>
  <si>
    <t xml:space="preserve"> زمان جلسه حضوری جهت امضای مجری مشخص شده است</t>
  </si>
  <si>
    <t>قرارداد به صورت غیر حضوری برای امضای الکترونیکی ارسال شده است</t>
  </si>
  <si>
    <t>پرداخت انجام شده است (بر اساس تاریخ واریز)</t>
  </si>
  <si>
    <t>اسناد پرداخت تحویل صندوق شده است.</t>
  </si>
  <si>
    <t>دستور پرداخت صادر شد - در انتظار پرداخت</t>
  </si>
  <si>
    <t>گزارش پیشرفت و صورت وضعیت دریافت شده است</t>
  </si>
  <si>
    <t>گزارش پیشرفت/صورت وضعیت مورد تایید صندوق می باشد</t>
  </si>
  <si>
    <t>اسناد پرداخت به تیم مجری ارسال شده است</t>
  </si>
  <si>
    <t>درصد و گزارش پیشرفت/صورت وضعیت نیازمند اصلاح است و اصلاحات اعلام شده است</t>
  </si>
  <si>
    <t>جلسه دفاع برگزار شده است</t>
  </si>
  <si>
    <t>گزارش پیشرفت ماهانه دریافت شده است</t>
  </si>
  <si>
    <t>بررسی پیشرفت نیازمند جلسه دفاع است</t>
  </si>
  <si>
    <t>قرارداد نیازمند پیش پرداخت بوده و در انتظار دریافت تضامین بر اساس قرارداد است</t>
  </si>
  <si>
    <t>تضامین مطابق قرارداد دریافت شده یا نیاز به تضمین نمی باشد (در انتظار صدور دستور پرداخت)</t>
  </si>
  <si>
    <t>هماهنگی جلسه دفاع انجام شده است ( در انتظار برگزاری جلسه دفاع)</t>
  </si>
  <si>
    <t>سهم موسسه دانشمند در تامین مالی (درصد)</t>
  </si>
  <si>
    <t>اسناد و محصولات ارسالی مورد تایید قرار گرفته است</t>
  </si>
  <si>
    <t>گزارش و یا محصول نیازمند اصلاح است و اصلاحات به مجری اعلام شده است (در انتظار اصلاح توسط مجری)</t>
  </si>
  <si>
    <t>صورت وضعیت فاز نهایی صادر شده است - در انتظار پرداخت</t>
  </si>
  <si>
    <t>اسناد پرداخت فاز نهایی تحویل صندوق شده است.</t>
  </si>
  <si>
    <t>پرداخت فاز نهایی انجام شده است (بر اساس تاریخ واریز)</t>
  </si>
  <si>
    <t>اسناد پرداخت فاز نهایی به تیم مجری ارسال شده است</t>
  </si>
  <si>
    <t>فاز نهایی پرداخت شده و در انتظار آزاد سازی حسن انجام کار می باشد</t>
  </si>
  <si>
    <t>دوره تضمین سپری شده و حسن انجام کار آماده آزاد سازی می باشد</t>
  </si>
  <si>
    <t>دستور پرداخت حسن انجام کار صادر شده است - در انتظار پرداخت</t>
  </si>
  <si>
    <t>اسناد پرداخت حسن انجام کار تحویل صندوق شده است.</t>
  </si>
  <si>
    <t>اسناد پرداخت حسن انجام کار به تیم مجری ارسال شده است</t>
  </si>
  <si>
    <t>قرار داد فاقد حسن انجام کار بوده و تصفیه کامل با تیم انجام شده است</t>
  </si>
  <si>
    <t>حضور تیم پروژه در یکی از رویدادهای سرمایه گذاری جانمایی شده و زمان به تیم مجری اعلام شده است</t>
  </si>
  <si>
    <t>تیم مجری وارد فاز شتابدهی/فروش محصول/ ...  شده است (با ذکر توضیحات)</t>
  </si>
  <si>
    <t>تیم مجری در رویداد سرمایه گذاری شرکت کرده است</t>
  </si>
  <si>
    <t xml:space="preserve">تیم مجری قابلیت معرفی به صندوق و یا معاونت های موسسه را دارد - اطلاعات تیم و سوابق به واحد مربوطه ارسال شده است </t>
  </si>
  <si>
    <t>زمان پروژه به پایان رسیده و امکان تمدید زمان وجود ندارد(ورود به فاز خروج)</t>
  </si>
  <si>
    <t>زمان پروژه به پایان رسیده و نیازمند تنظیم متمم قرارداد می باشد (بازگشت به فاز تنظیم قرارداد)</t>
  </si>
  <si>
    <t xml:space="preserve">پروژه به دلایل فنی/ تیم / فناوری و ... قابلیت ادامه نداشته و در فازهای میانی لغو شده است. </t>
  </si>
  <si>
    <t xml:space="preserve"> اسناد و محصولات توسط مجری تحویل شده است </t>
  </si>
  <si>
    <t>پروژه خاتمه یافته است (درصد پیشرفت نهایی در توضیحات ذکر شود)</t>
  </si>
  <si>
    <t>گزارش نهایی مورد تایید راهبر  به صندوق تحویل شده است.</t>
  </si>
  <si>
    <t>صورت مجلس پایان پروژه نگارش شده است</t>
  </si>
  <si>
    <t>نیازمند جلسه حضوری/مجازی با تیم - تماس با تیم برقرار شد ولی زمان جلسه مشخص نشده است (نیازمند پیگیری مجدد)</t>
  </si>
  <si>
    <t>هماهنگی جلسه دفاع انجام شده است ( زمان جلسه مشخص و در انتظار برگزاری جلسه دفاع)</t>
  </si>
  <si>
    <t>با تیم/راهبر برای دفاع تماس گرفته شد ولی زمان جلسه نهایی نشده است (نیازمند پیگیری مجدد)</t>
  </si>
  <si>
    <t>بر اساس نوع دستور هماهنگی اولیه با تیم به انجام رسید</t>
  </si>
  <si>
    <t>جلسه دفاع هماهنگ شد (در انتظار برگزار جلسه)</t>
  </si>
  <si>
    <t>با تیم/راهبر/موسسه برای دفاع تماس گرفته شد ولی زمان جلسه نهایی نشده است (نیازمند پیگیری مجدد)</t>
  </si>
  <si>
    <t>فرمت پروپوزال برای تیم مجری ارسال شده است</t>
  </si>
  <si>
    <t>طرح رد و به تیم مجری اعلام شد</t>
  </si>
  <si>
    <t>در انتظار تاییدات مورد نیاز (ناظر/موسسه) برای تنظیم قرارداد (در توضیحات ذکر شود)</t>
  </si>
  <si>
    <t>این پروژه با توجه به دستور و تصویب هیئت مدیره/مدیرعامل/ریاست و یا معاونت های بنیاد در مسیر سبز (فوری) قرار گرفت (در توضیحات ذکر شود)</t>
  </si>
  <si>
    <t>پروژه نیازمند جلسه دفاع است</t>
  </si>
  <si>
    <t>پروپوزال نهایی دریافت شده است</t>
  </si>
  <si>
    <t>طرح نیازمند اصلاح است (در انتظار اعمال تغییرات)</t>
  </si>
  <si>
    <t>کلیات طرح و پروپوزال مورد تایید قرار گرفته است</t>
  </si>
  <si>
    <t>تمامی تاییدات مورد نیاز دریافت شده است (ورود به گام تنظیم قرارداد - گام های طی شده در گام نما آورده شود)</t>
  </si>
  <si>
    <t>این طرح در فرآیند معمول صندوق قرار گرفته است (ورود به فاز دریافت پروپوزال و گام های طی شده در گام نما آورده شود)</t>
  </si>
  <si>
    <t>ساعت</t>
  </si>
  <si>
    <t>تاریخ عقد قرارداد</t>
  </si>
  <si>
    <t>میسر سبز</t>
  </si>
  <si>
    <t>مسیر سبز</t>
  </si>
  <si>
    <t>تاریخ (سال/روز/ماه)</t>
  </si>
  <si>
    <t>فعالیت مرتبط با گام اصلی</t>
  </si>
  <si>
    <t>وضعیت فعلی (بر اساس گام های اصلی)</t>
  </si>
  <si>
    <t>راهبر</t>
  </si>
  <si>
    <t>ناظر</t>
  </si>
  <si>
    <t>شرکت</t>
  </si>
  <si>
    <t>تیم فناور</t>
  </si>
  <si>
    <t>دانشگاه یا مرکز پژوهشی</t>
  </si>
  <si>
    <t>نام نماینده</t>
  </si>
  <si>
    <t>کلان محور</t>
  </si>
  <si>
    <t>چکیده پروژه (حداکثر 250 کلمه)</t>
  </si>
  <si>
    <t>زمینه اصلی</t>
  </si>
  <si>
    <t xml:space="preserve">            مساله پروژه</t>
  </si>
  <si>
    <t>پروژه مادر (در صورت وجود)</t>
  </si>
  <si>
    <t>بیان مسئله/فرصت</t>
  </si>
  <si>
    <t>توجیه کسب‌وکار (چرا این پروژه؟)</t>
  </si>
  <si>
    <t>هم‌راستایی با استراتژی سازمان</t>
  </si>
  <si>
    <t>اهداف کلان پروژه</t>
  </si>
  <si>
    <t>خروجی‌ها و تحویل‌دادنی‌ها (Deliverables)</t>
  </si>
  <si>
    <t>شاخص‌های کلیدی عملکرد (KPIs)</t>
  </si>
  <si>
    <t>معیارهای پذیرش (Acceptance Criteria)</t>
  </si>
  <si>
    <t xml:space="preserve">             اهداف و معیارهای موفقیت پروژه</t>
  </si>
  <si>
    <t>تاریخ واریز پیش پرداخت (در صورت وجود)</t>
  </si>
  <si>
    <t xml:space="preserve">طرح دریافت شده، به آن کد یکتا تخصیص داده شده است و شناسنامه پروژه ایجاد شده است </t>
  </si>
  <si>
    <t>درصد پیشرفت فعلی (تایید شده)</t>
  </si>
  <si>
    <t>شماره قرارداد</t>
  </si>
  <si>
    <t>بر اساس نظر شورای راهبری طرح نیازمند اصلاح و برگشت به فازهای قبلی ارزیابی است (در انتظار دریافت طرح اصلاح شده)</t>
  </si>
  <si>
    <t>بر اساس هیئت مدیره طرح نیازمند اصلاح و برگشت به فازهای قبلی ارزیابی است (در انتظار دریافت طرح اصلاح شده)</t>
  </si>
  <si>
    <t>فرآیند صدور معرفی نامه در صندوق نوآور به پایان رسید (در انتظار تکمیل فرایند توسط مدیر/معاونت مربوطه)</t>
  </si>
  <si>
    <t>تیم به معرفی نامه به  شرکت ها/ارگان ها نیاز دارد (شماره نامه در توضیحات)</t>
  </si>
  <si>
    <t>معرفی نامه صادر و ارسال شد (شماره نامه در توضیحات)</t>
  </si>
  <si>
    <t>اتمام پروژه نیازمند جلسه دفاع است</t>
  </si>
  <si>
    <t>ردیف</t>
  </si>
  <si>
    <t>امنیت غذایی</t>
  </si>
  <si>
    <t>حمل و نقل ترکیبی</t>
  </si>
  <si>
    <t>صنایع بالا دستی نفت و گاز</t>
  </si>
  <si>
    <t>صنعتی سازی ساختمان و فناوری های پیشرفته مرتبط</t>
  </si>
  <si>
    <t>اقتصاد دیجیتال و هوش مصنوعی</t>
  </si>
  <si>
    <t>معدن</t>
  </si>
  <si>
    <t>زنجیره ارزش فولاد</t>
  </si>
  <si>
    <t>سایر زمینه های فناوری</t>
  </si>
  <si>
    <t>صنایع معدنی</t>
  </si>
  <si>
    <t>انرژی و صنایع بالادستی نفت و گاز</t>
  </si>
  <si>
    <t>عمرانی و ساختمانی</t>
  </si>
  <si>
    <t>کشاورزی و دامپروری</t>
  </si>
  <si>
    <t>حمل و نقل، لجستیک و بازرگانی</t>
  </si>
  <si>
    <t>مالی و بانکی</t>
  </si>
  <si>
    <t>پتروشیمی (صنایع پایین‌دستی)</t>
  </si>
  <si>
    <t>توسعه نوآوری و امور دانش‌بنیان</t>
  </si>
  <si>
    <t>گردشگری و اکوتوریسم</t>
  </si>
  <si>
    <t>صنایع غذایی</t>
  </si>
  <si>
    <t>اموال و املاک</t>
  </si>
  <si>
    <t>هوش مصنوعی و فناوری‌های وابسته</t>
  </si>
  <si>
    <t xml:space="preserve">سایر </t>
  </si>
  <si>
    <t>حسن انجام کار نزد مجری</t>
  </si>
  <si>
    <t xml:space="preserve"> پیش پرداخت بر اساس قرارداد</t>
  </si>
  <si>
    <t>مبلغ باقی مانده  (بر اساس پرداخت شده)</t>
  </si>
  <si>
    <t>شرکت شتابدهی و فناوری تا ثریا</t>
  </si>
  <si>
    <t>-</t>
  </si>
  <si>
    <t>بودجه پروژه ( میلیون ریال )</t>
  </si>
  <si>
    <t>راهی شو 1403</t>
  </si>
  <si>
    <t xml:space="preserve">        </t>
  </si>
  <si>
    <t>عنوان فعالیت اصلي</t>
  </si>
  <si>
    <t>مدت‌زمان (ماه)</t>
  </si>
  <si>
    <t>هزینه گام</t>
  </si>
  <si>
    <t>(میلیون‌تومان)</t>
  </si>
  <si>
    <t>درصد وزنی فعاليت</t>
  </si>
  <si>
    <t xml:space="preserve">سیگنال امید </t>
  </si>
  <si>
    <t>علیرضا کرمی وندیشی</t>
  </si>
  <si>
    <t xml:space="preserve">محسن حامی </t>
  </si>
  <si>
    <t xml:space="preserve">محسن حامی   -محمد مهدی مطهری - محمد میرزایی - محمد موسعلی         </t>
  </si>
  <si>
    <t>۰۹۱۹۰۹۸۱۴۴۶</t>
  </si>
  <si>
    <t xml:space="preserve"> m.hami@aut.ac.ir</t>
  </si>
  <si>
    <t>حجم فعالیت(ساعت)</t>
  </si>
  <si>
    <t>امکان سنجی</t>
  </si>
  <si>
    <t>مطالعات امکان سنجی و اقتصادی بازار و ارائه مدل کسب و کار</t>
  </si>
  <si>
    <t>ارتباط با ذی نفعان پروژه و تعیین الزامات فنی براساس نیاز کاربر</t>
  </si>
  <si>
    <t>طراحی مفهومی سامانه (تمامی بخش‌ها)</t>
  </si>
  <si>
    <t xml:space="preserve">شناسایی نیازمندی های سخت افزاری </t>
  </si>
  <si>
    <t>تهیه و راه‌اندازی سخت‌افزار ها</t>
  </si>
  <si>
    <t>(تهیه سخت افزار)</t>
  </si>
  <si>
    <t>جمع‌آوری و آماده‌سازی داده‌ها</t>
  </si>
  <si>
    <t>طراحی و آموزش مدل هوش مصنوعی اولیه (با دقت پایین)</t>
  </si>
  <si>
    <t>(اجاره گرافیک)</t>
  </si>
  <si>
    <t>انتخاب و طراحی دقیق سامانه مکانیکی ونیازمندی های پیاده سازی</t>
  </si>
  <si>
    <t>(خرید ادوات مکانیکی)</t>
  </si>
  <si>
    <t xml:space="preserve">تهیه تجهیزات و ساخت نمونه اولیه سامانه مکانیکی </t>
  </si>
  <si>
    <t>ارتباط کامل  و بهینه بخش های مکانیکی-الکترونیکی و هوش مصنوعی پروژه به یکدیگر</t>
  </si>
  <si>
    <t xml:space="preserve">ساخت نمونه مهندسی </t>
  </si>
  <si>
    <t>تست اولیه و بهبود دقت مدل روی سخت افزار و عملکرد بخش های مختلف پروژه</t>
  </si>
  <si>
    <t>تست نهایی و ساخت نمونه مهندسی</t>
  </si>
  <si>
    <t>ارائه برنامه برای نمونه معیار تولید</t>
  </si>
  <si>
    <r>
      <t xml:space="preserve">مطالعه استاندارد‌ها و نمونه‌های </t>
    </r>
    <r>
      <rPr>
        <sz val="11"/>
        <color theme="1"/>
        <rFont val="B Nazanin"/>
        <charset val="178"/>
      </rPr>
      <t xml:space="preserve">مشابه </t>
    </r>
    <r>
      <rPr>
        <sz val="10"/>
        <color theme="1"/>
        <rFont val="B Nazanin"/>
        <charset val="178"/>
      </rPr>
      <t>(پتنت، مقالات و نمونه‌ تجاری)</t>
    </r>
  </si>
  <si>
    <r>
      <t>طر</t>
    </r>
    <r>
      <rPr>
        <sz val="10"/>
        <color rgb="FF000000"/>
        <rFont val="B Nazanin"/>
        <charset val="178"/>
      </rPr>
      <t>احی دقیق و ساخت نمونه اولیه</t>
    </r>
  </si>
  <si>
    <t>NF-1404-1051</t>
  </si>
  <si>
    <t>Feasibility study, design and construction of engineering prototype and industrial-grade system of defect detection in container production line</t>
  </si>
  <si>
    <t>در صنعت تولید بطری‌ها و ظروف (PET، شیشه‌ای و فلزی)، کنترل کیفیت همچنان عمدتاً به‌صورت دستی انجام می‌شود که موجب کاهش بهره‌وری، خطای انسانی و افزایش ضایعات تولید می‌گردد. نبود سامانه‌ای خودکار برای تشخیص عیوب بطری‌ها مانند ترک، لب‌پریدگی یا عیوب چاپی، باعث افزایش هزینه‌ها و کاهش رضایت مشتریان می‌شود. پروژه حاضر با هدف مکانیزه‌سازی کامل فرآیند تشخیص عیوب و جداسازی محصولات معیوب از خط تولید طراحی شده است.</t>
  </si>
  <si>
    <t>سیستم پیشنهادی با بهره‌گیری از هوش مصنوعی و بینایی ماشین، دقتی بیش از ۹۵٪ در شناسایی عیوب و سرعت پردازش تا ۱۸۰ بطری در دقیقه دارد. با طراحی ماژولار و استفاده از سخت‌افزار اقتصادی مانند Jetson Orin NX، امکان نصب در خطوط تولید مختلف فراهم می‌شود. این راهکار باعث کاهش هزینه‌های نیروی انسانی، افزایش بهره‌وری و ارتقای کیفیت محصولات می‌شود و بازار بالقوه‌ای در صنایع نوشیدنی، غذایی و دارویی دارد.</t>
  </si>
  <si>
    <t>کمک به زیست بوم و شبکه سازی نخبگان و تقویت بخش های نوپا</t>
  </si>
  <si>
    <t>هدف پروژه، طراحی و ساخت یک سامانه هوشمند تشخیص و جداسازی خودکار بطری‌های معیوب در خطوط تولید ظروف است. سیستم شامل سه بخش اصلی است: (۱) واحد بینایی ماشین مبتنی بر مدل‌های هوش مصنوعی (YOLOv8/YOLOv12) برای شناسایی انواع عیوب ظاهری و ساختاری، (۲) واحد مکانیکی شامل بازوی هل‌دهنده خطی با سروو موتور جهت جداسازی محصولات معیوب، و (۳) میان‌افزار الکترونیکی مبتنی بر آردوینو و پردازنده Jetson Orin NX برای کنترل هماهنگ اجزا. الگوریتم‌های یادگیری عمیق برای داده‌های واقعی خطوط تولید (مانند شرکت زمزم) آموزش داده می‌شوند تا به دقت ۹۵٪ و سرعت ۱۸۰ بطری در دقیقه برسند. طراحی ماژولار سیستم، امکان شخصی‌سازی برای خطوط مختلف (پت، شیشه، قوطی) را فراهم می‌کند. خروجی پروژه شامل نمونه مهندسی قابل نصب در خط تولید، مستندات فنی، و گزارش آزمون‌های عملکردی است.</t>
  </si>
  <si>
    <t>طراحی و ساخت سیستم هوشمند کنترل کیفیت خودکار مبتنی بر هوش مصنوعی؛ دستیابی به دقت ≥۹۵٪ و سرعت ۱۸۰ بطری در دقیقه؛ طراحی ماژولار قابل انطباق با خطوط تولید مختلف؛ توسعه نمونه مهندسی و امکان تولید انبوه.</t>
  </si>
  <si>
    <t>نمونه اولیه و نمونه مهندسی سامانه؛ مدل‌های هوش مصنوعی آموزش‌دیده برای تشخیص عیوب؛ نرم‌افزار مانیتورینگ و داشبورد مدیریتی؛ مکانیزم مکانیکی جداسازی خودکار؛ گزارش امکان‌سنجی و تحلیل اقتصادی؛ مستندات طراحی و تست عملکرد.</t>
  </si>
  <si>
    <t>دقت تشخیص ≥۹۵٪؛ سرعت پردازش ۱۸۰ بطری در دقیقه؛ نرخ خطای False Detection ≤۵٪؛ پایداری عملکرد در ۸ ساعت کاری ≥۹۰٪؛ نرخ موفقیت جداسازی محصولات معیوب ≥۹۵٪.</t>
  </si>
  <si>
    <t>معیارهای پذیرش (Acceptance Criteria): عملکرد پایدار سامانه در خط واقعی؛ دستیابی به دقت ≥۹۵٪ در شناسایی و جداسازی عیوب؛ انطباق با شرایط نوری و محیطی خط تولید؛ تأیید کارفرما (شرکت زمزم) در تست میدانی؛ ارائه مستندات فنی و گزارش نهایی.</t>
  </si>
  <si>
    <t xml:space="preserve">امکان سنجی و طراحی و ساخت نمونه اولیه و نمونه مهندسی سیستم کشف و کنترل نقص در خط تولید ظروف </t>
  </si>
  <si>
    <t>استان تهران</t>
  </si>
  <si>
    <t>تهران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</si>
</sst>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960429]dddd\,\ d\ mmmm\ yyyy;@"/>
    <numFmt numFmtId="165" formatCode="[$-1000000]hh:mm:ss;@"/>
    <numFmt numFmtId="166" formatCode="[$-3000401]0"/>
  </numFmts>
  <fonts count="21">
    <font>
      <sz val="11"/>
      <color theme="1"/>
      <name val="Calibri"/>
      <family val="2"/>
      <scheme val="minor"/>
    </font>
    <font>
      <sz val="11"/>
      <color theme="1"/>
      <name val="B Titr"/>
      <charset val="178"/>
    </font>
    <font>
      <b/>
      <sz val="14"/>
      <color theme="1"/>
      <name val="Vazir"/>
    </font>
    <font>
      <sz val="11"/>
      <color theme="0"/>
      <name val="B Titr"/>
      <charset val="178"/>
    </font>
    <font>
      <sz val="11"/>
      <color theme="1"/>
      <name val="Vazir"/>
    </font>
    <font>
      <b/>
      <sz val="20"/>
      <color theme="1"/>
      <name val="B Titr"/>
      <charset val="178"/>
    </font>
    <font>
      <b/>
      <sz val="14"/>
      <color theme="1"/>
      <name val="B Titr"/>
      <charset val="178"/>
    </font>
    <font>
      <sz val="11"/>
      <color theme="1"/>
      <name val="B Nazanin"/>
      <charset val="178"/>
    </font>
    <font>
      <sz val="8"/>
      <name val="Calibri"/>
      <family val="2"/>
      <scheme val="minor"/>
    </font>
    <font>
      <sz val="12"/>
      <color theme="1"/>
      <name val="B Nazanin"/>
      <charset val="178"/>
    </font>
    <font>
      <b/>
      <sz val="11"/>
      <color theme="1"/>
      <name val="Vazir"/>
    </font>
    <font>
      <b/>
      <sz val="12"/>
      <color theme="1"/>
      <name val="B Nazanin"/>
      <charset val="178"/>
    </font>
    <font>
      <b/>
      <sz val="14"/>
      <color theme="1"/>
      <name val="Times New Roman"/>
      <family val="1"/>
    </font>
    <font>
      <u/>
      <sz val="11"/>
      <color theme="10"/>
      <name val="Calibri"/>
      <family val="2"/>
      <scheme val="minor"/>
    </font>
    <font>
      <sz val="10"/>
      <color theme="1"/>
      <name val="B Nazanin"/>
      <charset val="178"/>
    </font>
    <font>
      <sz val="14"/>
      <color theme="1"/>
      <name val="B Nazanin"/>
      <charset val="178"/>
    </font>
    <font>
      <sz val="14"/>
      <color rgb="FF000000"/>
      <name val="B Nazanin"/>
      <charset val="178"/>
    </font>
    <font>
      <sz val="10"/>
      <color rgb="FF000000"/>
      <name val="B Nazanin"/>
      <charset val="178"/>
    </font>
    <font>
      <sz val="14"/>
      <color theme="1"/>
      <name val="Vazir"/>
    </font>
    <font>
      <sz val="14"/>
      <color rgb="FF000000"/>
      <name val="Vazir"/>
    </font>
    <font>
      <sz val="10"/>
      <color rgb="FF000000"/>
      <name val="Vazir"/>
    </font>
  </fonts>
  <fills count="9">
    <fill>
      <patternFill patternType="none"/>
    </fill>
    <fill>
      <patternFill patternType="gray125"/>
    </fill>
    <fill>
      <patternFill patternType="solid">
        <fgColor rgb="FF008080"/>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39997558519241921"/>
        <bgColor indexed="64"/>
      </patternFill>
    </fill>
    <fill>
      <patternFill patternType="solid">
        <fgColor rgb="FFFFFFFF"/>
        <bgColor indexed="64"/>
      </patternFill>
    </fill>
    <fill>
      <patternFill patternType="solid">
        <fgColor rgb="FF9CC2E5"/>
        <bgColor indexed="64"/>
      </patternFill>
    </fill>
    <fill>
      <patternFill patternType="solid">
        <fgColor rgb="FF92D050"/>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bottom/>
      <diagonal/>
    </border>
    <border>
      <left/>
      <right/>
      <top style="medium">
        <color rgb="FF000000"/>
      </top>
      <bottom style="medium">
        <color rgb="FF000000"/>
      </bottom>
      <diagonal/>
    </border>
  </borders>
  <cellStyleXfs count="2">
    <xf numFmtId="0" fontId="0" fillId="0" borderId="0"/>
    <xf numFmtId="0" fontId="13" fillId="0" borderId="0" applyNumberFormat="0" applyFill="0" applyBorder="0" applyAlignment="0" applyProtection="0"/>
  </cellStyleXfs>
  <cellXfs count="102">
    <xf numFmtId="0" fontId="0" fillId="0" borderId="0" xfId="0"/>
    <xf numFmtId="0" fontId="0" fillId="0" borderId="0" xfId="0" applyAlignment="1">
      <alignment vertical="center"/>
    </xf>
    <xf numFmtId="0" fontId="0" fillId="3" borderId="0" xfId="0" applyFill="1" applyAlignment="1">
      <alignment vertical="center"/>
    </xf>
    <xf numFmtId="0" fontId="0" fillId="0" borderId="0" xfId="0" applyAlignment="1">
      <alignment horizontal="center"/>
    </xf>
    <xf numFmtId="0" fontId="4" fillId="4" borderId="0" xfId="0" applyFont="1" applyFill="1" applyAlignment="1">
      <alignment horizontal="center"/>
    </xf>
    <xf numFmtId="0" fontId="4" fillId="0" borderId="0" xfId="0" applyFont="1" applyAlignment="1">
      <alignment horizontal="center"/>
    </xf>
    <xf numFmtId="0" fontId="7" fillId="0" borderId="0" xfId="0" applyFont="1" applyAlignment="1">
      <alignment horizontal="center"/>
    </xf>
    <xf numFmtId="0" fontId="7" fillId="0" borderId="0" xfId="0" applyFont="1"/>
    <xf numFmtId="0" fontId="7" fillId="0" borderId="0" xfId="0" applyFont="1" applyAlignment="1">
      <alignment horizontal="center" wrapText="1" readingOrder="2"/>
    </xf>
    <xf numFmtId="0" fontId="7" fillId="0" borderId="0" xfId="0" applyFont="1" applyAlignment="1">
      <alignment horizontal="center" readingOrder="2"/>
    </xf>
    <xf numFmtId="0" fontId="9" fillId="4" borderId="0" xfId="0" applyFont="1" applyFill="1" applyAlignment="1">
      <alignment horizontal="center"/>
    </xf>
    <xf numFmtId="0" fontId="9" fillId="4" borderId="0" xfId="0" applyFont="1" applyFill="1" applyAlignment="1">
      <alignment horizontal="center" readingOrder="2"/>
    </xf>
    <xf numFmtId="0" fontId="9" fillId="0" borderId="0" xfId="0" applyFont="1" applyAlignment="1">
      <alignment horizontal="center"/>
    </xf>
    <xf numFmtId="0" fontId="9" fillId="0" borderId="0" xfId="0" applyFont="1" applyAlignment="1">
      <alignment horizontal="center" readingOrder="2"/>
    </xf>
    <xf numFmtId="164" fontId="9" fillId="0" borderId="0" xfId="0" applyNumberFormat="1" applyFont="1" applyAlignment="1">
      <alignment horizontal="center"/>
    </xf>
    <xf numFmtId="165" fontId="9" fillId="0" borderId="0" xfId="0" applyNumberFormat="1" applyFont="1" applyAlignment="1">
      <alignment horizontal="center"/>
    </xf>
    <xf numFmtId="0" fontId="10" fillId="4" borderId="0" xfId="0" applyFont="1" applyFill="1" applyAlignment="1">
      <alignment horizontal="center"/>
    </xf>
    <xf numFmtId="0" fontId="11" fillId="0" borderId="0" xfId="0" applyFont="1" applyAlignment="1">
      <alignment horizontal="center"/>
    </xf>
    <xf numFmtId="0" fontId="11" fillId="0" borderId="0" xfId="0" applyFont="1" applyAlignment="1">
      <alignment horizontal="center" readingOrder="2"/>
    </xf>
    <xf numFmtId="0" fontId="10" fillId="0" borderId="0" xfId="0" applyFont="1" applyAlignment="1">
      <alignment horizontal="center"/>
    </xf>
    <xf numFmtId="0" fontId="11" fillId="4" borderId="0" xfId="0" applyFont="1" applyFill="1" applyAlignment="1">
      <alignment horizontal="center"/>
    </xf>
    <xf numFmtId="0" fontId="14" fillId="0" borderId="19" xfId="0" applyFont="1" applyBorder="1" applyAlignment="1">
      <alignment horizontal="center" vertical="center" wrapText="1"/>
    </xf>
    <xf numFmtId="0" fontId="14" fillId="0" borderId="20" xfId="0" applyFont="1" applyBorder="1" applyAlignment="1">
      <alignment horizontal="justify" vertical="center" wrapText="1" readingOrder="2"/>
    </xf>
    <xf numFmtId="0" fontId="15" fillId="0" borderId="20" xfId="0" applyFont="1" applyBorder="1" applyAlignment="1">
      <alignment horizontal="center" vertical="center" wrapText="1"/>
    </xf>
    <xf numFmtId="0" fontId="16" fillId="7" borderId="22" xfId="0" applyFont="1" applyFill="1" applyBorder="1" applyAlignment="1">
      <alignment horizontal="justify" vertical="center" wrapText="1"/>
    </xf>
    <xf numFmtId="0" fontId="17" fillId="7" borderId="20" xfId="0" applyFont="1" applyFill="1" applyBorder="1" applyAlignment="1">
      <alignment horizontal="justify" vertical="center" wrapText="1" readingOrder="2"/>
    </xf>
    <xf numFmtId="0" fontId="15" fillId="7" borderId="20" xfId="0" applyFont="1" applyFill="1" applyBorder="1" applyAlignment="1">
      <alignment horizontal="justify" vertical="center" wrapText="1" readingOrder="2"/>
    </xf>
    <xf numFmtId="0" fontId="15" fillId="7" borderId="20" xfId="0" applyFont="1" applyFill="1" applyBorder="1" applyAlignment="1">
      <alignment horizontal="justify" vertical="center" wrapText="1"/>
    </xf>
    <xf numFmtId="0" fontId="18" fillId="0" borderId="22" xfId="0" applyFont="1" applyBorder="1" applyAlignment="1">
      <alignment horizontal="justify" vertical="center" wrapText="1"/>
    </xf>
    <xf numFmtId="166" fontId="15" fillId="0" borderId="20" xfId="0" applyNumberFormat="1" applyFont="1" applyBorder="1" applyAlignment="1">
      <alignment horizontal="justify" vertical="center" wrapText="1"/>
    </xf>
    <xf numFmtId="0" fontId="15" fillId="8" borderId="20" xfId="0" applyFont="1" applyFill="1" applyBorder="1" applyAlignment="1">
      <alignment horizontal="justify" vertical="center" wrapText="1"/>
    </xf>
    <xf numFmtId="0" fontId="15" fillId="6" borderId="20" xfId="0" applyFont="1" applyFill="1" applyBorder="1" applyAlignment="1">
      <alignment horizontal="justify" vertical="center" wrapText="1"/>
    </xf>
    <xf numFmtId="0" fontId="15" fillId="0" borderId="20" xfId="0" applyFont="1" applyBorder="1" applyAlignment="1">
      <alignment horizontal="justify" vertical="center" wrapText="1"/>
    </xf>
    <xf numFmtId="0" fontId="9" fillId="0" borderId="20" xfId="0" applyFont="1" applyBorder="1" applyAlignment="1">
      <alignment horizontal="center" vertical="center" wrapText="1" readingOrder="2"/>
    </xf>
    <xf numFmtId="9" fontId="15" fillId="0" borderId="20" xfId="0" applyNumberFormat="1" applyFont="1" applyBorder="1" applyAlignment="1">
      <alignment horizontal="justify" vertical="center" wrapText="1"/>
    </xf>
    <xf numFmtId="0" fontId="9" fillId="0" borderId="20" xfId="0" applyFont="1" applyBorder="1" applyAlignment="1">
      <alignment horizontal="center" vertical="center" wrapText="1"/>
    </xf>
    <xf numFmtId="0" fontId="19" fillId="7" borderId="22" xfId="0" applyFont="1" applyFill="1" applyBorder="1" applyAlignment="1">
      <alignment horizontal="justify" vertical="center" wrapText="1"/>
    </xf>
    <xf numFmtId="0" fontId="20" fillId="7" borderId="20" xfId="0" applyFont="1" applyFill="1" applyBorder="1" applyAlignment="1">
      <alignment horizontal="justify" vertical="center" wrapText="1" readingOrder="2"/>
    </xf>
    <xf numFmtId="0" fontId="9" fillId="7" borderId="20" xfId="0" applyFont="1" applyFill="1" applyBorder="1" applyAlignment="1">
      <alignment horizontal="center" vertical="center" wrapText="1"/>
    </xf>
    <xf numFmtId="0" fontId="9" fillId="0" borderId="25" xfId="0" applyFont="1" applyBorder="1" applyAlignment="1">
      <alignment horizontal="center" vertical="center" wrapText="1"/>
    </xf>
    <xf numFmtId="0" fontId="7" fillId="0" borderId="20" xfId="0" applyFont="1" applyBorder="1" applyAlignment="1">
      <alignment horizontal="center" vertical="center" wrapText="1" readingOrder="2"/>
    </xf>
    <xf numFmtId="166" fontId="15" fillId="0" borderId="20" xfId="0" applyNumberFormat="1" applyFont="1" applyBorder="1" applyAlignment="1">
      <alignment horizontal="justify" vertical="center" wrapText="1" readingOrder="2"/>
    </xf>
    <xf numFmtId="0" fontId="9" fillId="0" borderId="25" xfId="0" applyFont="1" applyBorder="1" applyAlignment="1">
      <alignment horizontal="center" vertical="center" wrapText="1" readingOrder="2"/>
    </xf>
    <xf numFmtId="9" fontId="15" fillId="0" borderId="20" xfId="0" applyNumberFormat="1" applyFont="1" applyBorder="1" applyAlignment="1">
      <alignment horizontal="center" vertical="center" wrapText="1" readingOrder="2"/>
    </xf>
    <xf numFmtId="9" fontId="15" fillId="0" borderId="20" xfId="0" applyNumberFormat="1" applyFont="1" applyBorder="1" applyAlignment="1">
      <alignment horizontal="justify" vertical="center" wrapText="1" readingOrder="2"/>
    </xf>
    <xf numFmtId="0" fontId="0" fillId="0" borderId="0" xfId="0" applyAlignment="1">
      <alignment vertical="center" wrapText="1"/>
    </xf>
    <xf numFmtId="0" fontId="3" fillId="2" borderId="10"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 fillId="3" borderId="8" xfId="0" applyFont="1" applyFill="1" applyBorder="1" applyAlignment="1">
      <alignment horizontal="center" vertical="center" wrapText="1"/>
    </xf>
    <xf numFmtId="9" fontId="1" fillId="3" borderId="8" xfId="0" applyNumberFormat="1"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0" xfId="0" applyFont="1" applyFill="1" applyAlignment="1">
      <alignment vertical="center" wrapText="1"/>
    </xf>
    <xf numFmtId="0" fontId="1" fillId="0" borderId="0" xfId="0" applyFont="1" applyAlignment="1">
      <alignment vertical="center" wrapText="1"/>
    </xf>
    <xf numFmtId="0" fontId="3" fillId="2" borderId="1"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6" xfId="0" applyFont="1" applyFill="1" applyBorder="1" applyAlignment="1">
      <alignment vertical="center" wrapText="1"/>
    </xf>
    <xf numFmtId="164" fontId="1" fillId="3" borderId="2" xfId="0" applyNumberFormat="1" applyFont="1" applyFill="1" applyBorder="1" applyAlignment="1">
      <alignment horizontal="center" vertical="center" wrapText="1"/>
    </xf>
    <xf numFmtId="164" fontId="1" fillId="3" borderId="4" xfId="0" applyNumberFormat="1" applyFont="1" applyFill="1" applyBorder="1" applyAlignment="1">
      <alignment vertical="center" wrapText="1"/>
    </xf>
    <xf numFmtId="0" fontId="3" fillId="2" borderId="14" xfId="0" applyFont="1" applyFill="1" applyBorder="1" applyAlignment="1">
      <alignment horizontal="center" vertical="center" wrapText="1"/>
    </xf>
    <xf numFmtId="0" fontId="1" fillId="3" borderId="15" xfId="0" applyFont="1" applyFill="1" applyBorder="1" applyAlignment="1">
      <alignment vertical="center" wrapText="1"/>
    </xf>
    <xf numFmtId="49" fontId="1" fillId="3" borderId="8" xfId="0" applyNumberFormat="1" applyFont="1" applyFill="1" applyBorder="1" applyAlignment="1">
      <alignment horizontal="center" vertical="center" wrapText="1"/>
    </xf>
    <xf numFmtId="49" fontId="13" fillId="3" borderId="8" xfId="1" applyNumberFormat="1" applyFill="1" applyBorder="1" applyAlignment="1">
      <alignment horizontal="center" vertical="center" wrapText="1"/>
    </xf>
    <xf numFmtId="0" fontId="3" fillId="2" borderId="18" xfId="0" applyFont="1" applyFill="1" applyBorder="1" applyAlignment="1">
      <alignment horizontal="center" vertical="center" wrapText="1"/>
    </xf>
    <xf numFmtId="164" fontId="1" fillId="3" borderId="4" xfId="0" applyNumberFormat="1" applyFont="1" applyFill="1" applyBorder="1" applyAlignment="1">
      <alignment horizontal="center" vertical="center" wrapText="1"/>
    </xf>
    <xf numFmtId="3" fontId="1" fillId="3" borderId="2" xfId="0" applyNumberFormat="1" applyFont="1" applyFill="1" applyBorder="1" applyAlignment="1">
      <alignment horizontal="center" vertical="center" wrapText="1"/>
    </xf>
    <xf numFmtId="9" fontId="1" fillId="3" borderId="17" xfId="0" applyNumberFormat="1"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0" fillId="3" borderId="0" xfId="0" applyFill="1" applyAlignment="1">
      <alignment vertical="center" wrapText="1"/>
    </xf>
    <xf numFmtId="0" fontId="2" fillId="3" borderId="0" xfId="0" applyFont="1" applyFill="1" applyAlignment="1">
      <alignment horizontal="right" vertical="center" wrapText="1"/>
    </xf>
    <xf numFmtId="0" fontId="6" fillId="3" borderId="0" xfId="0" applyFont="1" applyFill="1" applyAlignment="1">
      <alignment horizontal="right" vertical="center" wrapText="1"/>
    </xf>
    <xf numFmtId="0" fontId="5" fillId="5" borderId="0" xfId="0" applyFont="1" applyFill="1" applyAlignment="1">
      <alignment horizontal="center" vertical="center"/>
    </xf>
    <xf numFmtId="0" fontId="15" fillId="0" borderId="23" xfId="0" applyFont="1" applyBorder="1" applyAlignment="1">
      <alignment horizontal="justify" vertical="center" wrapText="1"/>
    </xf>
    <xf numFmtId="0" fontId="15" fillId="0" borderId="22" xfId="0" applyFont="1" applyBorder="1" applyAlignment="1">
      <alignment horizontal="justify" vertical="center" wrapText="1"/>
    </xf>
    <xf numFmtId="9" fontId="15" fillId="0" borderId="19" xfId="0" applyNumberFormat="1" applyFont="1" applyBorder="1" applyAlignment="1">
      <alignment horizontal="justify" vertical="center" wrapText="1"/>
    </xf>
    <xf numFmtId="9" fontId="15" fillId="0" borderId="20" xfId="0" applyNumberFormat="1" applyFont="1" applyBorder="1" applyAlignment="1">
      <alignment horizontal="justify" vertical="center" wrapText="1"/>
    </xf>
    <xf numFmtId="166" fontId="15" fillId="0" borderId="23" xfId="0" applyNumberFormat="1" applyFont="1" applyBorder="1" applyAlignment="1">
      <alignment horizontal="justify" vertical="center" wrapText="1" readingOrder="2"/>
    </xf>
    <xf numFmtId="166" fontId="15" fillId="0" borderId="22" xfId="0" applyNumberFormat="1" applyFont="1" applyBorder="1" applyAlignment="1">
      <alignment horizontal="justify" vertical="center" wrapText="1" readingOrder="2"/>
    </xf>
    <xf numFmtId="0" fontId="15" fillId="8" borderId="23" xfId="0" applyFont="1" applyFill="1" applyBorder="1" applyAlignment="1">
      <alignment horizontal="justify" vertical="center" wrapText="1"/>
    </xf>
    <xf numFmtId="0" fontId="15" fillId="8" borderId="22" xfId="0" applyFont="1" applyFill="1" applyBorder="1" applyAlignment="1">
      <alignment horizontal="justify" vertical="center" wrapText="1"/>
    </xf>
    <xf numFmtId="0" fontId="15" fillId="6" borderId="23" xfId="0" applyFont="1" applyFill="1" applyBorder="1" applyAlignment="1">
      <alignment horizontal="justify" vertical="center" wrapText="1"/>
    </xf>
    <xf numFmtId="0" fontId="15" fillId="6" borderId="22" xfId="0" applyFont="1" applyFill="1" applyBorder="1" applyAlignment="1">
      <alignment horizontal="justify" vertical="center" wrapText="1"/>
    </xf>
    <xf numFmtId="0" fontId="14" fillId="0" borderId="23" xfId="0" applyFont="1" applyBorder="1" applyAlignment="1">
      <alignment horizontal="justify" vertical="center" wrapText="1"/>
    </xf>
    <xf numFmtId="0" fontId="14" fillId="0" borderId="22" xfId="0" applyFont="1" applyBorder="1" applyAlignment="1">
      <alignment horizontal="justify" vertical="center" wrapText="1"/>
    </xf>
    <xf numFmtId="0" fontId="14" fillId="0" borderId="23" xfId="0" applyFont="1" applyBorder="1" applyAlignment="1">
      <alignment horizontal="center" vertical="center" wrapText="1" readingOrder="2"/>
    </xf>
    <xf numFmtId="0" fontId="14" fillId="0" borderId="22" xfId="0" applyFont="1" applyBorder="1" applyAlignment="1">
      <alignment horizontal="center" vertical="center" wrapText="1" readingOrder="2"/>
    </xf>
    <xf numFmtId="0" fontId="14" fillId="0" borderId="21" xfId="0" applyFont="1" applyBorder="1" applyAlignment="1">
      <alignment horizontal="center" vertical="center" wrapText="1" readingOrder="2"/>
    </xf>
    <xf numFmtId="0" fontId="14" fillId="0" borderId="26" xfId="0" applyFont="1" applyBorder="1" applyAlignment="1">
      <alignment horizontal="center" vertical="center" wrapText="1" readingOrder="2"/>
    </xf>
    <xf numFmtId="0" fontId="14" fillId="0" borderId="24" xfId="0" applyFont="1" applyBorder="1" applyAlignment="1">
      <alignment horizontal="center" vertical="center" wrapText="1" readingOrder="2"/>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18" fillId="0" borderId="23" xfId="0" applyFont="1" applyBorder="1" applyAlignment="1">
      <alignment horizontal="justify" vertical="center" wrapText="1"/>
    </xf>
    <xf numFmtId="0" fontId="18" fillId="0" borderId="22" xfId="0" applyFont="1" applyBorder="1" applyAlignment="1">
      <alignment horizontal="justify" vertical="center" wrapText="1"/>
    </xf>
    <xf numFmtId="0" fontId="14" fillId="0" borderId="23" xfId="0" applyFont="1" applyBorder="1" applyAlignment="1">
      <alignment horizontal="justify" vertical="center" wrapText="1" readingOrder="2"/>
    </xf>
    <xf numFmtId="0" fontId="14" fillId="0" borderId="22" xfId="0" applyFont="1" applyBorder="1" applyAlignment="1">
      <alignment horizontal="justify" vertical="center" wrapText="1" readingOrder="2"/>
    </xf>
    <xf numFmtId="3" fontId="1" fillId="3" borderId="4" xfId="0" applyNumberFormat="1" applyFont="1" applyFill="1" applyBorder="1" applyAlignment="1">
      <alignment horizontal="center" vertical="center" wrapText="1"/>
    </xf>
  </cellXfs>
  <cellStyles count="2">
    <cellStyle name="Hyperlink" xfId="1" builtinId="8"/>
    <cellStyle name="Normal" xfId="0" builtinId="0"/>
  </cellStyles>
  <dxfs count="7">
    <dxf>
      <font>
        <strike val="0"/>
        <outline val="0"/>
        <shadow val="0"/>
        <u val="none"/>
        <vertAlign val="baseline"/>
        <sz val="12"/>
        <color theme="1"/>
        <name val="B Nazanin"/>
        <scheme val="none"/>
      </font>
      <alignment horizontal="center" vertical="bottom" textRotation="0" wrapText="0" indent="0" justifyLastLine="0" shrinkToFit="0" readingOrder="0"/>
    </dxf>
    <dxf>
      <font>
        <strike val="0"/>
        <outline val="0"/>
        <shadow val="0"/>
        <u val="none"/>
        <vertAlign val="baseline"/>
        <sz val="12"/>
        <color theme="1"/>
        <name val="B Nazanin"/>
        <scheme val="none"/>
      </font>
      <numFmt numFmtId="165" formatCode="[$-1000000]hh:mm:ss;@"/>
      <alignment horizontal="center" vertical="bottom" textRotation="0" wrapText="0" indent="0" justifyLastLine="0" shrinkToFit="0" readingOrder="0"/>
    </dxf>
    <dxf>
      <font>
        <strike val="0"/>
        <outline val="0"/>
        <shadow val="0"/>
        <u val="none"/>
        <vertAlign val="baseline"/>
        <sz val="12"/>
        <color theme="1"/>
        <name val="B Nazanin"/>
        <scheme val="none"/>
      </font>
      <numFmt numFmtId="167" formatCode="[$-960429]dd/mm/yyyy;@"/>
      <alignment horizontal="center" vertical="bottom" textRotation="0" wrapText="0" indent="0" justifyLastLine="0" shrinkToFit="0" readingOrder="0"/>
    </dxf>
    <dxf>
      <font>
        <strike val="0"/>
        <outline val="0"/>
        <shadow val="0"/>
        <u val="none"/>
        <vertAlign val="baseline"/>
        <sz val="12"/>
        <color theme="1"/>
        <name val="B Nazanin"/>
        <scheme val="none"/>
      </font>
      <alignment horizontal="center" vertical="bottom" textRotation="0" wrapText="0" indent="0" justifyLastLine="0" shrinkToFit="0" readingOrder="2"/>
    </dxf>
    <dxf>
      <font>
        <b/>
        <strike val="0"/>
        <outline val="0"/>
        <shadow val="0"/>
        <u val="none"/>
        <vertAlign val="baseline"/>
        <sz val="12"/>
        <color theme="1"/>
        <name val="B Nazanin"/>
        <scheme val="none"/>
      </font>
      <alignment horizontal="center" vertical="bottom" textRotation="0" wrapText="0" indent="0" justifyLastLine="0" shrinkToFit="0" readingOrder="0"/>
    </dxf>
    <dxf>
      <font>
        <strike val="0"/>
        <outline val="0"/>
        <shadow val="0"/>
        <u val="none"/>
        <vertAlign val="baseline"/>
        <sz val="12"/>
        <color theme="1"/>
        <name val="B Nazanin"/>
        <scheme val="none"/>
      </font>
      <alignment horizontal="center" vertical="bottom" textRotation="0" wrapText="0" indent="0" justifyLastLine="0" shrinkToFit="0" readingOrder="0"/>
    </dxf>
    <dxf>
      <font>
        <b/>
        <strike val="0"/>
        <outline val="0"/>
        <shadow val="0"/>
        <u val="none"/>
        <vertAlign val="baseline"/>
        <sz val="12"/>
        <color theme="1"/>
        <name val="B Nazanin"/>
        <scheme val="none"/>
      </font>
      <alignment horizontal="center" vertical="bottom" textRotation="0" wrapText="0" indent="0" justifyLastLine="0" shrinkToFit="0" readingOrder="0"/>
    </dxf>
  </dxfs>
  <tableStyles count="0" defaultTableStyle="TableStyleMedium2" defaultPivotStyle="PivotStyleLight16"/>
  <colors>
    <mruColors>
      <color rgb="FF008080"/>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1</xdr:col>
      <xdr:colOff>154516</xdr:colOff>
      <xdr:row>35</xdr:row>
      <xdr:rowOff>188381</xdr:rowOff>
    </xdr:from>
    <xdr:to>
      <xdr:col>2</xdr:col>
      <xdr:colOff>472017</xdr:colOff>
      <xdr:row>37</xdr:row>
      <xdr:rowOff>70906</xdr:rowOff>
    </xdr:to>
    <xdr:pic>
      <xdr:nvPicPr>
        <xdr:cNvPr id="3" name="Graphic 2" descr="Meeting">
          <a:extLst>
            <a:ext uri="{FF2B5EF4-FFF2-40B4-BE49-F238E27FC236}">
              <a16:creationId xmlns:a16="http://schemas.microsoft.com/office/drawing/2014/main" id="{FB16DD6D-5AFD-2915-639C-6078078324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36547933" y="12456581"/>
          <a:ext cx="593726" cy="615950"/>
        </a:xfrm>
        <a:prstGeom prst="rect">
          <a:avLst/>
        </a:prstGeom>
      </xdr:spPr>
    </xdr:pic>
    <xdr:clientData/>
  </xdr:twoCellAnchor>
  <xdr:twoCellAnchor editAs="oneCell">
    <xdr:from>
      <xdr:col>1</xdr:col>
      <xdr:colOff>275167</xdr:colOff>
      <xdr:row>4</xdr:row>
      <xdr:rowOff>148167</xdr:rowOff>
    </xdr:from>
    <xdr:to>
      <xdr:col>2</xdr:col>
      <xdr:colOff>461433</xdr:colOff>
      <xdr:row>6</xdr:row>
      <xdr:rowOff>38099</xdr:rowOff>
    </xdr:to>
    <xdr:pic>
      <xdr:nvPicPr>
        <xdr:cNvPr id="5" name="Graphic 4" descr="Information">
          <a:extLst>
            <a:ext uri="{FF2B5EF4-FFF2-40B4-BE49-F238E27FC236}">
              <a16:creationId xmlns:a16="http://schemas.microsoft.com/office/drawing/2014/main" id="{FF9F4195-90E3-A35C-3990-482939A3D5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546863167" y="876300"/>
          <a:ext cx="486832" cy="486832"/>
        </a:xfrm>
        <a:prstGeom prst="rect">
          <a:avLst/>
        </a:prstGeom>
      </xdr:spPr>
    </xdr:pic>
    <xdr:clientData/>
  </xdr:twoCellAnchor>
  <xdr:twoCellAnchor editAs="oneCell">
    <xdr:from>
      <xdr:col>1</xdr:col>
      <xdr:colOff>269876</xdr:colOff>
      <xdr:row>52</xdr:row>
      <xdr:rowOff>1058</xdr:rowOff>
    </xdr:from>
    <xdr:to>
      <xdr:col>2</xdr:col>
      <xdr:colOff>459318</xdr:colOff>
      <xdr:row>53</xdr:row>
      <xdr:rowOff>16932</xdr:rowOff>
    </xdr:to>
    <xdr:pic>
      <xdr:nvPicPr>
        <xdr:cNvPr id="14" name="Graphic 13" descr="Hourglass">
          <a:extLst>
            <a:ext uri="{FF2B5EF4-FFF2-40B4-BE49-F238E27FC236}">
              <a16:creationId xmlns:a16="http://schemas.microsoft.com/office/drawing/2014/main" id="{EF570D03-B977-AE41-2FAD-A0974D0040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36560632" y="17298458"/>
          <a:ext cx="465667" cy="463549"/>
        </a:xfrm>
        <a:prstGeom prst="rect">
          <a:avLst/>
        </a:prstGeom>
      </xdr:spPr>
    </xdr:pic>
    <xdr:clientData/>
  </xdr:twoCellAnchor>
  <xdr:twoCellAnchor editAs="oneCell">
    <xdr:from>
      <xdr:col>1</xdr:col>
      <xdr:colOff>202143</xdr:colOff>
      <xdr:row>62</xdr:row>
      <xdr:rowOff>270933</xdr:rowOff>
    </xdr:from>
    <xdr:to>
      <xdr:col>2</xdr:col>
      <xdr:colOff>427568</xdr:colOff>
      <xdr:row>64</xdr:row>
      <xdr:rowOff>14815</xdr:rowOff>
    </xdr:to>
    <xdr:pic>
      <xdr:nvPicPr>
        <xdr:cNvPr id="17" name="Graphic 16" descr="Coins">
          <a:extLst>
            <a:ext uri="{FF2B5EF4-FFF2-40B4-BE49-F238E27FC236}">
              <a16:creationId xmlns:a16="http://schemas.microsoft.com/office/drawing/2014/main" id="{37D0A1D0-FC03-38D4-7748-D436C51309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836592382" y="20597283"/>
          <a:ext cx="501650" cy="515407"/>
        </a:xfrm>
        <a:prstGeom prst="rect">
          <a:avLst/>
        </a:prstGeom>
      </xdr:spPr>
    </xdr:pic>
    <xdr:clientData/>
  </xdr:twoCellAnchor>
  <xdr:twoCellAnchor editAs="oneCell">
    <xdr:from>
      <xdr:col>1</xdr:col>
      <xdr:colOff>122767</xdr:colOff>
      <xdr:row>0</xdr:row>
      <xdr:rowOff>63501</xdr:rowOff>
    </xdr:from>
    <xdr:to>
      <xdr:col>2</xdr:col>
      <xdr:colOff>1159934</xdr:colOff>
      <xdr:row>3</xdr:row>
      <xdr:rowOff>175173</xdr:rowOff>
    </xdr:to>
    <xdr:pic>
      <xdr:nvPicPr>
        <xdr:cNvPr id="6" name="Picture 5">
          <a:extLst>
            <a:ext uri="{FF2B5EF4-FFF2-40B4-BE49-F238E27FC236}">
              <a16:creationId xmlns:a16="http://schemas.microsoft.com/office/drawing/2014/main" id="{18EF283F-8D49-EC84-3CBE-FEB64E368DC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547002866" y="63501"/>
          <a:ext cx="1337733" cy="657772"/>
        </a:xfrm>
        <a:prstGeom prst="rect">
          <a:avLst/>
        </a:prstGeom>
      </xdr:spPr>
    </xdr:pic>
    <xdr:clientData/>
  </xdr:twoCellAnchor>
  <xdr:twoCellAnchor editAs="oneCell">
    <xdr:from>
      <xdr:col>3</xdr:col>
      <xdr:colOff>6934200</xdr:colOff>
      <xdr:row>0</xdr:row>
      <xdr:rowOff>0</xdr:rowOff>
    </xdr:from>
    <xdr:to>
      <xdr:col>4</xdr:col>
      <xdr:colOff>138639</xdr:colOff>
      <xdr:row>3</xdr:row>
      <xdr:rowOff>309597</xdr:rowOff>
    </xdr:to>
    <xdr:pic>
      <xdr:nvPicPr>
        <xdr:cNvPr id="8" name="Picture 7">
          <a:extLst>
            <a:ext uri="{FF2B5EF4-FFF2-40B4-BE49-F238E27FC236}">
              <a16:creationId xmlns:a16="http://schemas.microsoft.com/office/drawing/2014/main" id="{3C2E637E-4DDF-858B-070F-3CFC5AC42FF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828737436" y="0"/>
          <a:ext cx="319614" cy="881097"/>
        </a:xfrm>
        <a:prstGeom prst="rect">
          <a:avLst/>
        </a:prstGeom>
      </xdr:spPr>
    </xdr:pic>
    <xdr:clientData/>
  </xdr:twoCellAnchor>
  <xdr:twoCellAnchor editAs="oneCell">
    <xdr:from>
      <xdr:col>2</xdr:col>
      <xdr:colOff>8466</xdr:colOff>
      <xdr:row>22</xdr:row>
      <xdr:rowOff>21167</xdr:rowOff>
    </xdr:from>
    <xdr:to>
      <xdr:col>2</xdr:col>
      <xdr:colOff>482600</xdr:colOff>
      <xdr:row>22</xdr:row>
      <xdr:rowOff>495301</xdr:rowOff>
    </xdr:to>
    <xdr:pic>
      <xdr:nvPicPr>
        <xdr:cNvPr id="15" name="Graphic 14" descr="Question mark">
          <a:extLst>
            <a:ext uri="{FF2B5EF4-FFF2-40B4-BE49-F238E27FC236}">
              <a16:creationId xmlns:a16="http://schemas.microsoft.com/office/drawing/2014/main" id="{E4981B28-6BF6-F58E-0055-6C347586CA9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47591300" y="5486400"/>
          <a:ext cx="474134" cy="474134"/>
        </a:xfrm>
        <a:prstGeom prst="rect">
          <a:avLst/>
        </a:prstGeom>
      </xdr:spPr>
    </xdr:pic>
    <xdr:clientData/>
  </xdr:twoCellAnchor>
  <xdr:twoCellAnchor editAs="oneCell">
    <xdr:from>
      <xdr:col>1</xdr:col>
      <xdr:colOff>190502</xdr:colOff>
      <xdr:row>28</xdr:row>
      <xdr:rowOff>194735</xdr:rowOff>
    </xdr:from>
    <xdr:to>
      <xdr:col>2</xdr:col>
      <xdr:colOff>444501</xdr:colOff>
      <xdr:row>29</xdr:row>
      <xdr:rowOff>546100</xdr:rowOff>
    </xdr:to>
    <xdr:pic>
      <xdr:nvPicPr>
        <xdr:cNvPr id="19" name="Graphic 18" descr="Checklist RTL">
          <a:extLst>
            <a:ext uri="{FF2B5EF4-FFF2-40B4-BE49-F238E27FC236}">
              <a16:creationId xmlns:a16="http://schemas.microsoft.com/office/drawing/2014/main" id="{C2D0C007-8E93-B7BF-7ADD-2EA121DE7F4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47718299" y="9076268"/>
          <a:ext cx="554565" cy="5545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F100" totalsRowShown="0" headerRowDxfId="6" dataDxfId="5">
  <autoFilter ref="B2:F100" xr:uid="{00000000-0009-0000-0100-000001000000}"/>
  <tableColumns count="5">
    <tableColumn id="1" xr3:uid="{00000000-0010-0000-0000-000001000000}" name="گام اصلی" dataDxfId="4"/>
    <tableColumn id="2" xr3:uid="{00000000-0010-0000-0000-000002000000}" name="فعالیت مرتبط با گام اصلی" dataDxfId="3"/>
    <tableColumn id="3" xr3:uid="{00000000-0010-0000-0000-000003000000}" name="تاریخ (سال/روز/ماه)" dataDxfId="2"/>
    <tableColumn id="4" xr3:uid="{00000000-0010-0000-0000-000004000000}" name="ساعت" dataDxfId="1"/>
    <tableColumn id="5" xr3:uid="{00000000-0010-0000-0000-000005000000}" name="توضیح"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75"/>
  <sheetViews>
    <sheetView showGridLines="0" rightToLeft="1" tabSelected="1" topLeftCell="A55" zoomScaleNormal="100" workbookViewId="0">
      <selection activeCell="D67" sqref="D67"/>
    </sheetView>
  </sheetViews>
  <sheetFormatPr defaultColWidth="9" defaultRowHeight="15"/>
  <cols>
    <col min="1" max="1" width="17.42578125" style="1" customWidth="1"/>
    <col min="2" max="2" width="4.140625" style="1" customWidth="1"/>
    <col min="3" max="3" width="36.140625" style="45" bestFit="1" customWidth="1"/>
    <col min="4" max="4" width="106.7109375" style="45" customWidth="1"/>
    <col min="5" max="5" width="3.7109375" style="1" customWidth="1"/>
    <col min="6" max="16384" width="9" style="1"/>
  </cols>
  <sheetData>
    <row r="1" spans="2:5">
      <c r="B1" s="77" t="s">
        <v>0</v>
      </c>
      <c r="C1" s="77"/>
      <c r="D1" s="77"/>
      <c r="E1" s="77"/>
    </row>
    <row r="2" spans="2:5">
      <c r="B2" s="77"/>
      <c r="C2" s="77"/>
      <c r="D2" s="77"/>
      <c r="E2" s="77"/>
    </row>
    <row r="3" spans="2:5">
      <c r="B3" s="77"/>
      <c r="C3" s="77"/>
      <c r="D3" s="77"/>
      <c r="E3" s="77"/>
    </row>
    <row r="4" spans="2:5" ht="24.95" customHeight="1">
      <c r="B4" s="77"/>
      <c r="C4" s="77"/>
      <c r="D4" s="77"/>
      <c r="E4" s="77"/>
    </row>
    <row r="5" spans="2:5" ht="10.7" customHeight="1"/>
    <row r="6" spans="2:5" ht="35.450000000000003" customHeight="1" thickBot="1">
      <c r="B6" s="2"/>
      <c r="C6" s="75" t="s">
        <v>6</v>
      </c>
      <c r="D6" s="75"/>
      <c r="E6" s="2"/>
    </row>
    <row r="7" spans="2:5" ht="22.5">
      <c r="B7" s="2"/>
      <c r="C7" s="46" t="s">
        <v>1</v>
      </c>
      <c r="D7" s="47" t="s">
        <v>243</v>
      </c>
      <c r="E7" s="2"/>
    </row>
    <row r="8" spans="2:5" ht="22.5">
      <c r="B8" s="2"/>
      <c r="C8" s="48" t="s">
        <v>3</v>
      </c>
      <c r="D8" s="49" t="s">
        <v>253</v>
      </c>
      <c r="E8" s="2"/>
    </row>
    <row r="9" spans="2:5" ht="45">
      <c r="B9" s="2"/>
      <c r="C9" s="48" t="s">
        <v>4</v>
      </c>
      <c r="D9" s="49" t="s">
        <v>244</v>
      </c>
      <c r="E9" s="2"/>
    </row>
    <row r="10" spans="2:5" ht="22.5">
      <c r="B10" s="2"/>
      <c r="C10" s="48" t="s">
        <v>158</v>
      </c>
      <c r="D10" s="49" t="s">
        <v>186</v>
      </c>
      <c r="E10" s="2"/>
    </row>
    <row r="11" spans="2:5" ht="22.5">
      <c r="B11" s="2"/>
      <c r="C11" s="48" t="s">
        <v>160</v>
      </c>
      <c r="D11" s="49" t="s">
        <v>201</v>
      </c>
      <c r="E11" s="2"/>
    </row>
    <row r="12" spans="2:5" ht="22.5">
      <c r="B12" s="2"/>
      <c r="C12" s="48" t="s">
        <v>2</v>
      </c>
      <c r="D12" s="49" t="s">
        <v>216</v>
      </c>
      <c r="E12" s="2"/>
    </row>
    <row r="13" spans="2:5" ht="22.5">
      <c r="B13" s="2"/>
      <c r="C13" s="48" t="s">
        <v>152</v>
      </c>
      <c r="D13" s="49" t="s">
        <v>206</v>
      </c>
      <c r="E13" s="2"/>
    </row>
    <row r="14" spans="2:5" ht="22.5">
      <c r="B14" s="2"/>
      <c r="C14" s="48" t="s">
        <v>153</v>
      </c>
      <c r="D14" s="49" t="s">
        <v>217</v>
      </c>
      <c r="E14" s="2"/>
    </row>
    <row r="15" spans="2:5" ht="22.5">
      <c r="B15" s="2"/>
      <c r="C15" s="48" t="s">
        <v>5</v>
      </c>
      <c r="D15" s="49">
        <v>5000</v>
      </c>
      <c r="E15" s="2"/>
    </row>
    <row r="16" spans="2:5" ht="22.5">
      <c r="B16" s="2"/>
      <c r="C16" s="48" t="s">
        <v>105</v>
      </c>
      <c r="D16" s="50">
        <v>1</v>
      </c>
      <c r="E16" s="2"/>
    </row>
    <row r="17" spans="2:5" ht="22.5">
      <c r="B17" s="2"/>
      <c r="C17" s="48" t="s">
        <v>162</v>
      </c>
      <c r="D17" s="49" t="s">
        <v>209</v>
      </c>
      <c r="E17" s="2"/>
    </row>
    <row r="18" spans="2:5" ht="22.5">
      <c r="B18" s="2"/>
      <c r="C18" s="51" t="s">
        <v>14</v>
      </c>
      <c r="D18" s="49">
        <v>7</v>
      </c>
      <c r="E18" s="2"/>
    </row>
    <row r="19" spans="2:5" ht="22.5">
      <c r="B19" s="2"/>
      <c r="C19" s="51" t="s">
        <v>174</v>
      </c>
      <c r="D19" s="49">
        <v>0</v>
      </c>
      <c r="E19" s="2"/>
    </row>
    <row r="20" spans="2:5" ht="23.25" thickBot="1">
      <c r="B20" s="2"/>
      <c r="C20" s="52" t="s">
        <v>151</v>
      </c>
      <c r="D20" s="53" t="s">
        <v>40</v>
      </c>
      <c r="E20" s="2"/>
    </row>
    <row r="21" spans="2:5" ht="15.95" customHeight="1">
      <c r="B21" s="2"/>
      <c r="C21" s="54"/>
      <c r="D21" s="54"/>
      <c r="E21" s="2"/>
    </row>
    <row r="22" spans="2:5" ht="15.95" customHeight="1">
      <c r="C22" s="55"/>
      <c r="D22" s="55"/>
    </row>
    <row r="23" spans="2:5" ht="39.75" customHeight="1" thickBot="1">
      <c r="B23" s="2"/>
      <c r="C23" s="76" t="s">
        <v>161</v>
      </c>
      <c r="D23" s="76"/>
      <c r="E23" s="2"/>
    </row>
    <row r="24" spans="2:5" ht="42.95" customHeight="1">
      <c r="B24" s="2"/>
      <c r="C24" s="56" t="s">
        <v>163</v>
      </c>
      <c r="D24" s="49" t="s">
        <v>245</v>
      </c>
      <c r="E24" s="2"/>
    </row>
    <row r="25" spans="2:5" ht="37.700000000000003" customHeight="1">
      <c r="B25" s="2"/>
      <c r="C25" s="57" t="s">
        <v>164</v>
      </c>
      <c r="D25" s="49" t="s">
        <v>246</v>
      </c>
      <c r="E25" s="2"/>
    </row>
    <row r="26" spans="2:5" ht="37.700000000000003" customHeight="1">
      <c r="B26" s="2"/>
      <c r="C26" s="58" t="s">
        <v>165</v>
      </c>
      <c r="D26" s="49" t="s">
        <v>247</v>
      </c>
      <c r="E26" s="2"/>
    </row>
    <row r="27" spans="2:5" ht="95.1" customHeight="1" thickBot="1">
      <c r="B27" s="2"/>
      <c r="C27" s="59" t="s">
        <v>159</v>
      </c>
      <c r="D27" s="60" t="s">
        <v>248</v>
      </c>
      <c r="E27" s="2"/>
    </row>
    <row r="28" spans="2:5" ht="15.95" customHeight="1">
      <c r="B28" s="2"/>
      <c r="C28" s="54"/>
      <c r="D28" s="54"/>
      <c r="E28" s="2"/>
    </row>
    <row r="29" spans="2:5" ht="15.95" customHeight="1">
      <c r="C29" s="55"/>
      <c r="D29" s="55"/>
    </row>
    <row r="30" spans="2:5" ht="45" customHeight="1" thickBot="1">
      <c r="B30" s="2"/>
      <c r="C30" s="76" t="s">
        <v>170</v>
      </c>
      <c r="D30" s="76"/>
      <c r="E30" s="2"/>
    </row>
    <row r="31" spans="2:5" ht="42" customHeight="1">
      <c r="B31" s="2"/>
      <c r="C31" s="56" t="s">
        <v>166</v>
      </c>
      <c r="D31" s="61" t="s">
        <v>249</v>
      </c>
      <c r="E31" s="2"/>
    </row>
    <row r="32" spans="2:5" ht="38.65" customHeight="1">
      <c r="B32" s="2"/>
      <c r="C32" s="57" t="s">
        <v>167</v>
      </c>
      <c r="D32" s="62" t="s">
        <v>250</v>
      </c>
      <c r="E32" s="2"/>
    </row>
    <row r="33" spans="2:5" ht="39.75" customHeight="1">
      <c r="B33" s="2"/>
      <c r="C33" s="58" t="s">
        <v>168</v>
      </c>
      <c r="D33" s="62" t="s">
        <v>251</v>
      </c>
      <c r="E33" s="2"/>
    </row>
    <row r="34" spans="2:5" ht="39.4" customHeight="1" thickBot="1">
      <c r="B34" s="2"/>
      <c r="C34" s="59" t="s">
        <v>169</v>
      </c>
      <c r="D34" s="60" t="s">
        <v>252</v>
      </c>
      <c r="E34" s="2"/>
    </row>
    <row r="35" spans="2:5" ht="15.75" customHeight="1">
      <c r="B35" s="2"/>
      <c r="C35" s="54"/>
      <c r="D35" s="54"/>
      <c r="E35" s="2"/>
    </row>
    <row r="36" spans="2:5" ht="22.5">
      <c r="C36" s="55"/>
      <c r="D36" s="55"/>
    </row>
    <row r="37" spans="2:5" ht="35.450000000000003" customHeight="1" thickBot="1">
      <c r="B37" s="2"/>
      <c r="C37" s="76" t="s">
        <v>15</v>
      </c>
      <c r="D37" s="76"/>
      <c r="E37" s="2"/>
    </row>
    <row r="38" spans="2:5" ht="22.5">
      <c r="B38" s="2"/>
      <c r="C38" s="56" t="s">
        <v>11</v>
      </c>
      <c r="D38" s="49" t="str">
        <f>D12</f>
        <v xml:space="preserve">سیگنال امید </v>
      </c>
      <c r="E38" s="2"/>
    </row>
    <row r="39" spans="2:5" ht="22.5">
      <c r="B39" s="2"/>
      <c r="C39" s="58" t="s">
        <v>157</v>
      </c>
      <c r="D39" s="49" t="s">
        <v>218</v>
      </c>
      <c r="E39" s="2"/>
    </row>
    <row r="40" spans="2:5" ht="22.5">
      <c r="B40" s="2"/>
      <c r="C40" s="58" t="s">
        <v>12</v>
      </c>
      <c r="D40" s="49" t="s">
        <v>219</v>
      </c>
      <c r="E40" s="2"/>
    </row>
    <row r="41" spans="2:5" ht="22.5">
      <c r="B41" s="2"/>
      <c r="C41" s="58" t="s">
        <v>8</v>
      </c>
      <c r="D41" s="49">
        <v>4</v>
      </c>
      <c r="E41" s="2"/>
    </row>
    <row r="42" spans="2:5" ht="22.5">
      <c r="B42" s="2"/>
      <c r="C42" s="58" t="s">
        <v>9</v>
      </c>
      <c r="D42" s="49" t="str">
        <f>D40</f>
        <v xml:space="preserve">محسن حامی   -محمد مهدی مطهری - محمد میرزایی - محمد موسعلی         </v>
      </c>
      <c r="E42" s="2"/>
    </row>
    <row r="43" spans="2:5" ht="22.5">
      <c r="B43" s="2"/>
      <c r="C43" s="58" t="s">
        <v>30</v>
      </c>
      <c r="D43" s="72" t="s">
        <v>218</v>
      </c>
      <c r="E43" s="2"/>
    </row>
    <row r="44" spans="2:5" ht="22.5">
      <c r="B44" s="2"/>
      <c r="C44" s="58" t="s">
        <v>10</v>
      </c>
      <c r="D44" s="72" t="s">
        <v>254</v>
      </c>
      <c r="E44" s="2"/>
    </row>
    <row r="45" spans="2:5" ht="22.5">
      <c r="B45" s="2"/>
      <c r="C45" s="58" t="s">
        <v>13</v>
      </c>
      <c r="D45" s="72" t="s">
        <v>255</v>
      </c>
      <c r="E45" s="2"/>
    </row>
    <row r="46" spans="2:5" ht="22.5">
      <c r="B46" s="2"/>
      <c r="C46" s="63" t="s">
        <v>7</v>
      </c>
      <c r="D46" s="64"/>
      <c r="E46" s="2"/>
    </row>
    <row r="47" spans="2:5" ht="22.5">
      <c r="B47" s="2"/>
      <c r="C47" s="63" t="s">
        <v>23</v>
      </c>
      <c r="D47" s="65" t="s">
        <v>220</v>
      </c>
      <c r="E47" s="2" t="s">
        <v>210</v>
      </c>
    </row>
    <row r="48" spans="2:5" ht="22.5">
      <c r="B48" s="2"/>
      <c r="C48" s="63" t="s">
        <v>24</v>
      </c>
      <c r="D48" s="65"/>
      <c r="E48" s="2"/>
    </row>
    <row r="49" spans="2:5" ht="22.5">
      <c r="B49" s="2"/>
      <c r="C49" s="63" t="s">
        <v>25</v>
      </c>
      <c r="D49" s="49"/>
      <c r="E49" s="2"/>
    </row>
    <row r="50" spans="2:5" ht="23.25" thickBot="1">
      <c r="B50" s="2"/>
      <c r="C50" s="59" t="s">
        <v>22</v>
      </c>
      <c r="D50" s="66" t="s">
        <v>221</v>
      </c>
      <c r="E50" s="2"/>
    </row>
    <row r="51" spans="2:5" ht="22.5">
      <c r="B51" s="2"/>
      <c r="C51" s="54"/>
      <c r="D51" s="54"/>
      <c r="E51" s="2"/>
    </row>
    <row r="52" spans="2:5" ht="22.5">
      <c r="C52" s="55"/>
      <c r="D52" s="55"/>
    </row>
    <row r="53" spans="2:5" ht="35.450000000000003" customHeight="1" thickBot="1">
      <c r="B53" s="2"/>
      <c r="C53" s="49" t="s">
        <v>16</v>
      </c>
      <c r="D53" s="49"/>
      <c r="E53" s="2"/>
    </row>
    <row r="54" spans="2:5" ht="22.5">
      <c r="B54" s="2"/>
      <c r="C54" s="67" t="s">
        <v>146</v>
      </c>
      <c r="D54" s="68">
        <v>45936</v>
      </c>
      <c r="E54" s="2"/>
    </row>
    <row r="55" spans="2:5" ht="22.5">
      <c r="B55" s="2"/>
      <c r="C55" s="58" t="s">
        <v>17</v>
      </c>
      <c r="D55" s="68">
        <v>45901</v>
      </c>
      <c r="E55" s="2"/>
    </row>
    <row r="56" spans="2:5" ht="22.5">
      <c r="B56" s="2"/>
      <c r="C56" s="58" t="s">
        <v>18</v>
      </c>
      <c r="D56" s="68">
        <v>45746</v>
      </c>
      <c r="E56" s="2"/>
    </row>
    <row r="57" spans="2:5" ht="22.5">
      <c r="B57" s="2"/>
      <c r="C57" s="58" t="s">
        <v>171</v>
      </c>
      <c r="D57" s="68" t="s">
        <v>207</v>
      </c>
      <c r="E57" s="2"/>
    </row>
    <row r="58" spans="2:5" ht="22.5">
      <c r="B58" s="2"/>
      <c r="C58" s="58" t="s">
        <v>19</v>
      </c>
      <c r="D58" s="68">
        <f>D55</f>
        <v>45901</v>
      </c>
      <c r="E58" s="2"/>
    </row>
    <row r="59" spans="2:5" ht="22.5">
      <c r="B59" s="2"/>
      <c r="C59" s="58" t="s">
        <v>20</v>
      </c>
      <c r="D59" s="62"/>
      <c r="E59" s="2"/>
    </row>
    <row r="60" spans="2:5" ht="22.5">
      <c r="B60" s="2"/>
      <c r="C60" s="58" t="s">
        <v>21</v>
      </c>
      <c r="D60" s="49" t="str">
        <f>D20</f>
        <v>تنظیم قرارداد</v>
      </c>
      <c r="E60" s="2"/>
    </row>
    <row r="61" spans="2:5" ht="23.25" thickBot="1">
      <c r="B61" s="2"/>
      <c r="C61" s="59" t="s">
        <v>173</v>
      </c>
      <c r="D61" s="73">
        <v>11.2</v>
      </c>
      <c r="E61" s="2"/>
    </row>
    <row r="62" spans="2:5" ht="22.5">
      <c r="B62" s="2"/>
      <c r="C62" s="54"/>
      <c r="D62" s="54"/>
      <c r="E62" s="2"/>
    </row>
    <row r="63" spans="2:5" ht="22.5">
      <c r="C63" s="55"/>
      <c r="D63" s="55"/>
    </row>
    <row r="64" spans="2:5" ht="38.450000000000003" customHeight="1" thickBot="1">
      <c r="B64" s="2"/>
      <c r="C64" s="76" t="s">
        <v>26</v>
      </c>
      <c r="D64" s="76"/>
      <c r="E64" s="2"/>
    </row>
    <row r="65" spans="2:5" ht="22.5">
      <c r="B65" s="2"/>
      <c r="C65" s="56" t="s">
        <v>208</v>
      </c>
      <c r="D65" s="69">
        <f>D15</f>
        <v>5000</v>
      </c>
      <c r="E65" s="2"/>
    </row>
    <row r="66" spans="2:5" ht="22.5">
      <c r="B66" s="2"/>
      <c r="C66" s="57" t="s">
        <v>31</v>
      </c>
      <c r="D66" s="70">
        <f>D16</f>
        <v>1</v>
      </c>
      <c r="E66" s="2"/>
    </row>
    <row r="67" spans="2:5" ht="22.5">
      <c r="B67" s="2"/>
      <c r="C67" s="57" t="s">
        <v>32</v>
      </c>
      <c r="D67" s="71" t="s">
        <v>207</v>
      </c>
      <c r="E67" s="2"/>
    </row>
    <row r="68" spans="2:5" ht="22.5">
      <c r="B68" s="2"/>
      <c r="C68" s="57" t="s">
        <v>33</v>
      </c>
      <c r="D68" s="71">
        <v>0</v>
      </c>
      <c r="E68" s="2"/>
    </row>
    <row r="69" spans="2:5" ht="22.5">
      <c r="B69" s="2"/>
      <c r="C69" s="57" t="s">
        <v>204</v>
      </c>
      <c r="D69" s="71">
        <v>0</v>
      </c>
      <c r="E69" s="2"/>
    </row>
    <row r="70" spans="2:5" ht="22.5">
      <c r="B70" s="2"/>
      <c r="C70" s="58" t="s">
        <v>27</v>
      </c>
      <c r="D70" s="101">
        <v>504000000</v>
      </c>
      <c r="E70" s="2"/>
    </row>
    <row r="71" spans="2:5" ht="22.5">
      <c r="B71" s="2"/>
      <c r="C71" s="58" t="s">
        <v>28</v>
      </c>
      <c r="D71" s="101">
        <v>504000000</v>
      </c>
      <c r="E71" s="2"/>
    </row>
    <row r="72" spans="2:5" ht="22.5">
      <c r="B72" s="2"/>
      <c r="C72" s="58" t="s">
        <v>29</v>
      </c>
      <c r="D72" s="101">
        <v>0</v>
      </c>
      <c r="E72" s="2"/>
    </row>
    <row r="73" spans="2:5" ht="22.5">
      <c r="B73" s="2"/>
      <c r="C73" s="58" t="s">
        <v>203</v>
      </c>
      <c r="D73" s="101">
        <v>500000000</v>
      </c>
      <c r="E73" s="2"/>
    </row>
    <row r="74" spans="2:5" ht="22.5">
      <c r="B74" s="2"/>
      <c r="C74" s="58" t="s">
        <v>205</v>
      </c>
      <c r="D74" s="101">
        <f>5000000000-D71</f>
        <v>4496000000</v>
      </c>
      <c r="E74" s="2"/>
    </row>
    <row r="75" spans="2:5">
      <c r="B75" s="2"/>
      <c r="C75" s="74"/>
      <c r="D75" s="74"/>
      <c r="E75" s="2"/>
    </row>
  </sheetData>
  <mergeCells count="6">
    <mergeCell ref="C6:D6"/>
    <mergeCell ref="C37:D37"/>
    <mergeCell ref="C64:D64"/>
    <mergeCell ref="B1:E4"/>
    <mergeCell ref="C23:D23"/>
    <mergeCell ref="C30:D30"/>
  </mergeCells>
  <dataValidations count="1">
    <dataValidation type="list" allowBlank="1" showInputMessage="1" showErrorMessage="1" sqref="D20" xr:uid="{00000000-0002-0000-0000-000000000000}">
      <formula1>گام_اصلی</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Statuses!$M$2:$M$9</xm:f>
          </x14:formula1>
          <xm:sqref>D10</xm:sqref>
        </x14:dataValidation>
        <x14:dataValidation type="list" allowBlank="1" showInputMessage="1" showErrorMessage="1" xr:uid="{00000000-0002-0000-0000-000002000000}">
          <x14:formula1>
            <xm:f>Statuses!$N$2:$N$14</xm:f>
          </x14:formula1>
          <xm:sqref>D11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2"/>
  <sheetViews>
    <sheetView rightToLeft="1" zoomScale="70" zoomScaleNormal="70" workbookViewId="0">
      <selection activeCell="J31" sqref="J31"/>
    </sheetView>
  </sheetViews>
  <sheetFormatPr defaultColWidth="9" defaultRowHeight="15"/>
  <cols>
    <col min="1" max="16384" width="9" style="3"/>
  </cols>
  <sheetData>
    <row r="1" spans="1:17" ht="16.5" customHeight="1" thickBot="1">
      <c r="A1" s="88" t="s">
        <v>181</v>
      </c>
      <c r="B1" s="90" t="s">
        <v>211</v>
      </c>
      <c r="C1" s="90" t="s">
        <v>222</v>
      </c>
      <c r="D1" s="92" t="s">
        <v>212</v>
      </c>
      <c r="E1" s="93"/>
      <c r="F1" s="93"/>
      <c r="G1" s="93"/>
      <c r="H1" s="93"/>
      <c r="I1" s="93"/>
      <c r="J1" s="93"/>
      <c r="K1" s="93"/>
      <c r="L1" s="93"/>
      <c r="M1" s="93"/>
      <c r="N1" s="93"/>
      <c r="O1" s="94"/>
      <c r="P1" s="21" t="s">
        <v>213</v>
      </c>
      <c r="Q1" s="95" t="s">
        <v>215</v>
      </c>
    </row>
    <row r="2" spans="1:17" ht="32.25" thickBot="1">
      <c r="A2" s="89"/>
      <c r="B2" s="91"/>
      <c r="C2" s="91"/>
      <c r="D2" s="23">
        <v>1</v>
      </c>
      <c r="E2" s="23">
        <v>2</v>
      </c>
      <c r="F2" s="23">
        <v>3</v>
      </c>
      <c r="G2" s="23">
        <v>4</v>
      </c>
      <c r="H2" s="23">
        <v>5</v>
      </c>
      <c r="I2" s="23">
        <v>6</v>
      </c>
      <c r="J2" s="23">
        <v>7</v>
      </c>
      <c r="K2" s="23">
        <v>8</v>
      </c>
      <c r="L2" s="23">
        <v>9</v>
      </c>
      <c r="M2" s="23">
        <v>10</v>
      </c>
      <c r="N2" s="23">
        <v>11</v>
      </c>
      <c r="O2" s="23">
        <v>12</v>
      </c>
      <c r="P2" s="22" t="s">
        <v>214</v>
      </c>
      <c r="Q2" s="96"/>
    </row>
    <row r="3" spans="1:17" ht="23.25" thickBot="1">
      <c r="A3" s="24">
        <v>1</v>
      </c>
      <c r="B3" s="25" t="s">
        <v>223</v>
      </c>
      <c r="C3" s="26"/>
      <c r="D3" s="27"/>
      <c r="E3" s="27"/>
      <c r="F3" s="27"/>
      <c r="G3" s="27"/>
      <c r="H3" s="26"/>
      <c r="I3" s="27"/>
      <c r="J3" s="27"/>
      <c r="K3" s="27"/>
      <c r="L3" s="27"/>
      <c r="M3" s="27"/>
      <c r="N3" s="27"/>
      <c r="O3" s="27"/>
      <c r="P3" s="27"/>
      <c r="Q3" s="27"/>
    </row>
    <row r="4" spans="1:17" ht="95.25" thickBot="1">
      <c r="A4" s="28">
        <v>1.1000000000000001</v>
      </c>
      <c r="B4" s="22" t="s">
        <v>224</v>
      </c>
      <c r="C4" s="29">
        <v>112</v>
      </c>
      <c r="D4" s="30"/>
      <c r="E4" s="31"/>
      <c r="F4" s="32"/>
      <c r="G4" s="32"/>
      <c r="H4" s="32"/>
      <c r="I4" s="32"/>
      <c r="J4" s="32"/>
      <c r="K4" s="32"/>
      <c r="L4" s="32"/>
      <c r="M4" s="32"/>
      <c r="N4" s="32"/>
      <c r="O4" s="32"/>
      <c r="P4" s="33">
        <v>80</v>
      </c>
      <c r="Q4" s="34">
        <v>0.16</v>
      </c>
    </row>
    <row r="5" spans="1:17" ht="95.25" thickBot="1">
      <c r="A5" s="28">
        <v>1.2</v>
      </c>
      <c r="B5" s="22" t="s">
        <v>225</v>
      </c>
      <c r="C5" s="29">
        <v>112</v>
      </c>
      <c r="D5" s="30"/>
      <c r="E5" s="31"/>
      <c r="F5" s="32"/>
      <c r="G5" s="32"/>
      <c r="H5" s="32"/>
      <c r="I5" s="32"/>
      <c r="J5" s="32"/>
      <c r="K5" s="32"/>
      <c r="L5" s="32"/>
      <c r="M5" s="32"/>
      <c r="N5" s="32"/>
      <c r="O5" s="32"/>
      <c r="P5" s="33">
        <v>60</v>
      </c>
      <c r="Q5" s="34">
        <v>0.12</v>
      </c>
    </row>
    <row r="6" spans="1:17" ht="113.25" thickBot="1">
      <c r="A6" s="28">
        <v>1.3</v>
      </c>
      <c r="B6" s="22" t="s">
        <v>241</v>
      </c>
      <c r="C6" s="29">
        <v>112</v>
      </c>
      <c r="D6" s="30"/>
      <c r="E6" s="31"/>
      <c r="F6" s="32"/>
      <c r="G6" s="32"/>
      <c r="H6" s="32"/>
      <c r="I6" s="32"/>
      <c r="J6" s="32"/>
      <c r="K6" s="32"/>
      <c r="L6" s="32"/>
      <c r="M6" s="32"/>
      <c r="N6" s="32"/>
      <c r="O6" s="32"/>
      <c r="P6" s="35">
        <v>50</v>
      </c>
      <c r="Q6" s="34">
        <v>0.1</v>
      </c>
    </row>
    <row r="7" spans="1:17" ht="79.5" thickBot="1">
      <c r="A7" s="28">
        <v>1.4</v>
      </c>
      <c r="B7" s="22" t="s">
        <v>226</v>
      </c>
      <c r="C7" s="29">
        <v>149</v>
      </c>
      <c r="D7" s="30"/>
      <c r="E7" s="31"/>
      <c r="F7" s="32"/>
      <c r="G7" s="32"/>
      <c r="H7" s="32"/>
      <c r="I7" s="32"/>
      <c r="J7" s="32"/>
      <c r="K7" s="32"/>
      <c r="L7" s="32"/>
      <c r="M7" s="32"/>
      <c r="N7" s="32"/>
      <c r="O7" s="32"/>
      <c r="P7" s="33">
        <v>50</v>
      </c>
      <c r="Q7" s="34">
        <v>0.1</v>
      </c>
    </row>
    <row r="8" spans="1:17" ht="63.75" thickBot="1">
      <c r="A8" s="28">
        <v>1.5</v>
      </c>
      <c r="B8" s="22" t="s">
        <v>227</v>
      </c>
      <c r="C8" s="29">
        <v>74</v>
      </c>
      <c r="D8" s="30"/>
      <c r="E8" s="31"/>
      <c r="F8" s="32"/>
      <c r="G8" s="32"/>
      <c r="H8" s="32"/>
      <c r="I8" s="32"/>
      <c r="J8" s="32"/>
      <c r="K8" s="32"/>
      <c r="L8" s="32"/>
      <c r="M8" s="32"/>
      <c r="N8" s="32"/>
      <c r="O8" s="32"/>
      <c r="P8" s="35">
        <v>30</v>
      </c>
      <c r="Q8" s="34">
        <v>0.06</v>
      </c>
    </row>
    <row r="9" spans="1:17" ht="63.75" thickBot="1">
      <c r="A9" s="36">
        <v>2</v>
      </c>
      <c r="B9" s="37" t="s">
        <v>242</v>
      </c>
      <c r="C9" s="27"/>
      <c r="D9" s="27"/>
      <c r="E9" s="27"/>
      <c r="F9" s="27"/>
      <c r="G9" s="27"/>
      <c r="H9" s="27"/>
      <c r="I9" s="27"/>
      <c r="J9" s="27"/>
      <c r="K9" s="27"/>
      <c r="L9" s="27"/>
      <c r="M9" s="27"/>
      <c r="N9" s="27"/>
      <c r="O9" s="27"/>
      <c r="P9" s="38"/>
      <c r="Q9" s="27"/>
    </row>
    <row r="10" spans="1:17" ht="18.75" customHeight="1">
      <c r="A10" s="97">
        <v>2.1</v>
      </c>
      <c r="B10" s="99" t="s">
        <v>228</v>
      </c>
      <c r="C10" s="82">
        <v>224</v>
      </c>
      <c r="D10" s="84"/>
      <c r="E10" s="84"/>
      <c r="F10" s="86"/>
      <c r="G10" s="86"/>
      <c r="H10" s="78"/>
      <c r="I10" s="78"/>
      <c r="J10" s="78"/>
      <c r="K10" s="78"/>
      <c r="L10" s="78"/>
      <c r="M10" s="78"/>
      <c r="N10" s="78"/>
      <c r="O10" s="78"/>
      <c r="P10" s="39">
        <v>30</v>
      </c>
      <c r="Q10" s="80">
        <v>0.06</v>
      </c>
    </row>
    <row r="11" spans="1:17" ht="36.75" thickBot="1">
      <c r="A11" s="98"/>
      <c r="B11" s="100"/>
      <c r="C11" s="83"/>
      <c r="D11" s="85"/>
      <c r="E11" s="85"/>
      <c r="F11" s="87"/>
      <c r="G11" s="87"/>
      <c r="H11" s="79"/>
      <c r="I11" s="79"/>
      <c r="J11" s="79"/>
      <c r="K11" s="79"/>
      <c r="L11" s="79"/>
      <c r="M11" s="79"/>
      <c r="N11" s="79"/>
      <c r="O11" s="79"/>
      <c r="P11" s="40" t="s">
        <v>229</v>
      </c>
      <c r="Q11" s="81"/>
    </row>
    <row r="12" spans="1:17" ht="48" thickBot="1">
      <c r="A12" s="28">
        <v>2.2000000000000002</v>
      </c>
      <c r="B12" s="22" t="s">
        <v>230</v>
      </c>
      <c r="C12" s="41">
        <v>635</v>
      </c>
      <c r="D12" s="32"/>
      <c r="E12" s="30"/>
      <c r="F12" s="30"/>
      <c r="G12" s="30"/>
      <c r="H12" s="31"/>
      <c r="I12" s="32"/>
      <c r="J12" s="32"/>
      <c r="K12" s="32"/>
      <c r="L12" s="32"/>
      <c r="M12" s="32"/>
      <c r="N12" s="32"/>
      <c r="O12" s="32"/>
      <c r="P12" s="33">
        <v>45</v>
      </c>
      <c r="Q12" s="34">
        <v>0.09</v>
      </c>
    </row>
    <row r="13" spans="1:17" ht="40.5" customHeight="1">
      <c r="A13" s="97">
        <v>2.2999999999999998</v>
      </c>
      <c r="B13" s="99" t="s">
        <v>231</v>
      </c>
      <c r="C13" s="82">
        <v>745</v>
      </c>
      <c r="D13" s="78"/>
      <c r="E13" s="78"/>
      <c r="F13" s="84"/>
      <c r="G13" s="84"/>
      <c r="H13" s="86"/>
      <c r="I13" s="86"/>
      <c r="J13" s="86"/>
      <c r="K13" s="86"/>
      <c r="L13" s="78"/>
      <c r="M13" s="78"/>
      <c r="N13" s="78"/>
      <c r="O13" s="78"/>
      <c r="P13" s="42">
        <v>40</v>
      </c>
      <c r="Q13" s="80">
        <v>0.08</v>
      </c>
    </row>
    <row r="14" spans="1:17" ht="38.25" thickBot="1">
      <c r="A14" s="98"/>
      <c r="B14" s="100"/>
      <c r="C14" s="83"/>
      <c r="D14" s="79"/>
      <c r="E14" s="79"/>
      <c r="F14" s="85"/>
      <c r="G14" s="85"/>
      <c r="H14" s="87"/>
      <c r="I14" s="87"/>
      <c r="J14" s="87"/>
      <c r="K14" s="87"/>
      <c r="L14" s="79"/>
      <c r="M14" s="79"/>
      <c r="N14" s="79"/>
      <c r="O14" s="79"/>
      <c r="P14" s="33" t="s">
        <v>232</v>
      </c>
      <c r="Q14" s="81"/>
    </row>
    <row r="15" spans="1:17" ht="55.5" customHeight="1">
      <c r="A15" s="97">
        <v>2.4</v>
      </c>
      <c r="B15" s="99" t="s">
        <v>233</v>
      </c>
      <c r="C15" s="82">
        <v>373</v>
      </c>
      <c r="D15" s="78"/>
      <c r="E15" s="78"/>
      <c r="F15" s="84"/>
      <c r="G15" s="84"/>
      <c r="H15" s="84"/>
      <c r="I15" s="84"/>
      <c r="J15" s="78"/>
      <c r="K15" s="78"/>
      <c r="L15" s="78"/>
      <c r="M15" s="78"/>
      <c r="N15" s="78"/>
      <c r="O15" s="78"/>
      <c r="P15" s="42">
        <v>40</v>
      </c>
      <c r="Q15" s="80">
        <v>0.08</v>
      </c>
    </row>
    <row r="16" spans="1:17" ht="54.75" thickBot="1">
      <c r="A16" s="98"/>
      <c r="B16" s="100"/>
      <c r="C16" s="83"/>
      <c r="D16" s="79"/>
      <c r="E16" s="79"/>
      <c r="F16" s="85"/>
      <c r="G16" s="85"/>
      <c r="H16" s="85"/>
      <c r="I16" s="85"/>
      <c r="J16" s="79"/>
      <c r="K16" s="79"/>
      <c r="L16" s="79"/>
      <c r="M16" s="79"/>
      <c r="N16" s="79"/>
      <c r="O16" s="79"/>
      <c r="P16" s="40" t="s">
        <v>234</v>
      </c>
      <c r="Q16" s="81"/>
    </row>
    <row r="17" spans="1:17" ht="79.5" thickBot="1">
      <c r="A17" s="28">
        <v>2.5</v>
      </c>
      <c r="B17" s="22" t="s">
        <v>235</v>
      </c>
      <c r="C17" s="41">
        <v>261</v>
      </c>
      <c r="D17" s="32"/>
      <c r="E17" s="32"/>
      <c r="F17" s="30"/>
      <c r="G17" s="30"/>
      <c r="H17" s="30"/>
      <c r="I17" s="30"/>
      <c r="J17" s="32"/>
      <c r="K17" s="32"/>
      <c r="L17" s="32"/>
      <c r="M17" s="32"/>
      <c r="N17" s="32"/>
      <c r="O17" s="32"/>
      <c r="P17" s="35">
        <v>40</v>
      </c>
      <c r="Q17" s="43">
        <v>0.08</v>
      </c>
    </row>
    <row r="18" spans="1:17" ht="142.5" thickBot="1">
      <c r="A18" s="28">
        <v>2.6</v>
      </c>
      <c r="B18" s="22" t="s">
        <v>236</v>
      </c>
      <c r="C18" s="41">
        <v>486</v>
      </c>
      <c r="D18" s="32"/>
      <c r="E18" s="32"/>
      <c r="F18" s="32"/>
      <c r="G18" s="32"/>
      <c r="H18" s="30"/>
      <c r="I18" s="30"/>
      <c r="J18" s="32"/>
      <c r="K18" s="32"/>
      <c r="L18" s="32"/>
      <c r="M18" s="32"/>
      <c r="N18" s="32"/>
      <c r="O18" s="32"/>
      <c r="P18" s="33">
        <v>10</v>
      </c>
      <c r="Q18" s="43">
        <v>0.02</v>
      </c>
    </row>
    <row r="19" spans="1:17" ht="32.25" thickBot="1">
      <c r="A19" s="36">
        <v>3</v>
      </c>
      <c r="B19" s="25" t="s">
        <v>237</v>
      </c>
      <c r="C19" s="26"/>
      <c r="D19" s="27"/>
      <c r="E19" s="27"/>
      <c r="F19" s="27"/>
      <c r="G19" s="27"/>
      <c r="H19" s="27"/>
      <c r="I19" s="27"/>
      <c r="J19" s="27"/>
      <c r="K19" s="27"/>
      <c r="L19" s="27"/>
      <c r="M19" s="27"/>
      <c r="N19" s="27"/>
      <c r="O19" s="27"/>
      <c r="P19" s="38"/>
      <c r="Q19" s="27"/>
    </row>
    <row r="20" spans="1:17" ht="111" thickBot="1">
      <c r="A20" s="28">
        <v>3.1</v>
      </c>
      <c r="B20" s="22" t="s">
        <v>238</v>
      </c>
      <c r="C20" s="41">
        <v>186</v>
      </c>
      <c r="D20" s="32"/>
      <c r="E20" s="32"/>
      <c r="F20" s="32"/>
      <c r="G20" s="32"/>
      <c r="H20" s="32"/>
      <c r="I20" s="32"/>
      <c r="J20" s="30"/>
      <c r="K20" s="32"/>
      <c r="L20" s="32"/>
      <c r="M20" s="32"/>
      <c r="N20" s="32"/>
      <c r="O20" s="32"/>
      <c r="P20" s="33">
        <v>10</v>
      </c>
      <c r="Q20" s="44">
        <v>0.02</v>
      </c>
    </row>
    <row r="21" spans="1:17" ht="48" thickBot="1">
      <c r="A21" s="28">
        <v>3.2</v>
      </c>
      <c r="B21" s="22" t="s">
        <v>239</v>
      </c>
      <c r="C21" s="41">
        <v>186</v>
      </c>
      <c r="D21" s="32"/>
      <c r="E21" s="32"/>
      <c r="F21" s="32"/>
      <c r="G21" s="32"/>
      <c r="H21" s="32"/>
      <c r="I21" s="32"/>
      <c r="J21" s="30"/>
      <c r="K21" s="32"/>
      <c r="L21" s="32"/>
      <c r="M21" s="32"/>
      <c r="N21" s="32"/>
      <c r="O21" s="32"/>
      <c r="P21" s="33">
        <v>10</v>
      </c>
      <c r="Q21" s="34">
        <v>0.02</v>
      </c>
    </row>
    <row r="22" spans="1:17" ht="48" thickBot="1">
      <c r="A22" s="28">
        <v>3.3</v>
      </c>
      <c r="B22" s="22" t="s">
        <v>240</v>
      </c>
      <c r="C22" s="41">
        <v>74</v>
      </c>
      <c r="D22" s="32"/>
      <c r="E22" s="32"/>
      <c r="F22" s="32"/>
      <c r="G22" s="32"/>
      <c r="H22" s="32"/>
      <c r="I22" s="32"/>
      <c r="J22" s="30"/>
      <c r="K22" s="32"/>
      <c r="L22" s="32"/>
      <c r="M22" s="32"/>
      <c r="N22" s="32"/>
      <c r="O22" s="32"/>
      <c r="P22" s="33">
        <v>5</v>
      </c>
      <c r="Q22" s="34">
        <v>0.01</v>
      </c>
    </row>
  </sheetData>
  <mergeCells count="53">
    <mergeCell ref="M15:M16"/>
    <mergeCell ref="N15:N16"/>
    <mergeCell ref="O15:O16"/>
    <mergeCell ref="Q15:Q16"/>
    <mergeCell ref="M13:M14"/>
    <mergeCell ref="N13:N14"/>
    <mergeCell ref="O13:O14"/>
    <mergeCell ref="Q13:Q14"/>
    <mergeCell ref="A15:A16"/>
    <mergeCell ref="B15:B16"/>
    <mergeCell ref="C15:C16"/>
    <mergeCell ref="D15:D16"/>
    <mergeCell ref="E15:E16"/>
    <mergeCell ref="F15:F16"/>
    <mergeCell ref="G15:G16"/>
    <mergeCell ref="H15:H16"/>
    <mergeCell ref="I15:I16"/>
    <mergeCell ref="J15:J16"/>
    <mergeCell ref="K15:K16"/>
    <mergeCell ref="L15:L16"/>
    <mergeCell ref="D1:O1"/>
    <mergeCell ref="Q1:Q2"/>
    <mergeCell ref="A10:A11"/>
    <mergeCell ref="B10:B11"/>
    <mergeCell ref="A13:A14"/>
    <mergeCell ref="B13:B14"/>
    <mergeCell ref="C13:C14"/>
    <mergeCell ref="D13:D14"/>
    <mergeCell ref="E13:E14"/>
    <mergeCell ref="F13:F14"/>
    <mergeCell ref="G13:G14"/>
    <mergeCell ref="H13:H14"/>
    <mergeCell ref="I13:I14"/>
    <mergeCell ref="J13:J14"/>
    <mergeCell ref="K13:K14"/>
    <mergeCell ref="L13:L14"/>
    <mergeCell ref="A1:A2"/>
    <mergeCell ref="B1:B2"/>
    <mergeCell ref="C1:C2"/>
    <mergeCell ref="K10:K11"/>
    <mergeCell ref="L10:L11"/>
    <mergeCell ref="O10:O11"/>
    <mergeCell ref="Q10:Q11"/>
    <mergeCell ref="M10:M11"/>
    <mergeCell ref="N10:N11"/>
    <mergeCell ref="C10:C11"/>
    <mergeCell ref="D10:D11"/>
    <mergeCell ref="E10:E11"/>
    <mergeCell ref="F10:F11"/>
    <mergeCell ref="G10:G11"/>
    <mergeCell ref="H10:H11"/>
    <mergeCell ref="I10:I11"/>
    <mergeCell ref="J10:J11"/>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
  <sheetViews>
    <sheetView rightToLeft="1" workbookViewId="0">
      <selection activeCell="C3" sqref="C3"/>
    </sheetView>
  </sheetViews>
  <sheetFormatPr defaultColWidth="9" defaultRowHeight="21"/>
  <cols>
    <col min="1" max="1" width="2.85546875" style="4" customWidth="1"/>
    <col min="2" max="2" width="18.85546875" style="17" customWidth="1"/>
    <col min="3" max="3" width="102.140625" style="13" bestFit="1" customWidth="1"/>
    <col min="4" max="4" width="22" style="12" customWidth="1"/>
    <col min="5" max="5" width="14.7109375" style="12" customWidth="1"/>
    <col min="6" max="6" width="36.7109375" style="12" customWidth="1"/>
    <col min="7" max="7" width="3" style="4" customWidth="1"/>
    <col min="8" max="16384" width="9" style="5"/>
  </cols>
  <sheetData>
    <row r="1" spans="1:7">
      <c r="B1" s="20"/>
      <c r="C1" s="11"/>
      <c r="D1" s="10"/>
      <c r="E1" s="10"/>
      <c r="F1" s="10"/>
    </row>
    <row r="2" spans="1:7" s="19" customFormat="1">
      <c r="A2" s="16"/>
      <c r="B2" s="17" t="s">
        <v>34</v>
      </c>
      <c r="C2" s="18" t="s">
        <v>150</v>
      </c>
      <c r="D2" s="17" t="s">
        <v>149</v>
      </c>
      <c r="E2" s="17" t="s">
        <v>145</v>
      </c>
      <c r="F2" s="17" t="s">
        <v>35</v>
      </c>
      <c r="G2" s="16"/>
    </row>
    <row r="3" spans="1:7">
      <c r="B3" s="17" t="s">
        <v>36</v>
      </c>
      <c r="C3" s="13" t="s">
        <v>45</v>
      </c>
      <c r="D3" s="14">
        <v>45901</v>
      </c>
      <c r="E3" s="15">
        <v>0.41666666666666669</v>
      </c>
    </row>
    <row r="4" spans="1:7">
      <c r="B4" s="17" t="s">
        <v>36</v>
      </c>
      <c r="C4" s="13" t="s">
        <v>44</v>
      </c>
      <c r="D4" s="14">
        <v>45903</v>
      </c>
      <c r="E4" s="15">
        <v>0.5</v>
      </c>
    </row>
    <row r="5" spans="1:7">
      <c r="B5" s="17" t="s">
        <v>37</v>
      </c>
      <c r="C5" s="13" t="s">
        <v>46</v>
      </c>
      <c r="D5" s="14">
        <v>45906</v>
      </c>
      <c r="E5" s="15">
        <v>0.33333333333333331</v>
      </c>
    </row>
    <row r="6" spans="1:7">
      <c r="B6" s="17" t="s">
        <v>37</v>
      </c>
      <c r="C6" s="13" t="s">
        <v>47</v>
      </c>
      <c r="D6" s="14">
        <v>45906</v>
      </c>
      <c r="E6" s="15">
        <v>0.66666666666666663</v>
      </c>
    </row>
    <row r="7" spans="1:7">
      <c r="B7" s="17" t="s">
        <v>37</v>
      </c>
      <c r="C7" s="13" t="s">
        <v>54</v>
      </c>
      <c r="D7" s="14">
        <v>45906</v>
      </c>
      <c r="E7" s="15">
        <v>0.66666666666666663</v>
      </c>
    </row>
    <row r="8" spans="1:7">
      <c r="B8" s="17" t="s">
        <v>38</v>
      </c>
      <c r="C8" s="13" t="s">
        <v>75</v>
      </c>
      <c r="D8" s="14">
        <v>45907</v>
      </c>
      <c r="E8" s="15">
        <v>0.33333333333333331</v>
      </c>
    </row>
    <row r="9" spans="1:7">
      <c r="B9" s="17" t="s">
        <v>40</v>
      </c>
      <c r="C9" s="13" t="s">
        <v>89</v>
      </c>
      <c r="D9" s="14"/>
      <c r="E9" s="15"/>
    </row>
    <row r="10" spans="1:7">
      <c r="B10" s="17" t="s">
        <v>40</v>
      </c>
      <c r="C10" s="13" t="s">
        <v>91</v>
      </c>
      <c r="D10" s="14"/>
      <c r="E10" s="15"/>
    </row>
    <row r="11" spans="1:7">
      <c r="B11" s="17" t="s">
        <v>40</v>
      </c>
      <c r="C11" s="13" t="s">
        <v>80</v>
      </c>
      <c r="D11" s="14"/>
      <c r="E11" s="15"/>
    </row>
    <row r="12" spans="1:7">
      <c r="B12" s="17" t="s">
        <v>40</v>
      </c>
      <c r="C12" s="13" t="s">
        <v>82</v>
      </c>
      <c r="D12" s="14"/>
      <c r="E12" s="15"/>
    </row>
    <row r="13" spans="1:7">
      <c r="B13" s="17" t="s">
        <v>36</v>
      </c>
      <c r="C13" s="13" t="s">
        <v>44</v>
      </c>
      <c r="D13" s="14"/>
      <c r="E13" s="15"/>
    </row>
    <row r="14" spans="1:7">
      <c r="B14" s="17" t="s">
        <v>37</v>
      </c>
      <c r="C14" s="13" t="s">
        <v>46</v>
      </c>
      <c r="D14" s="14"/>
      <c r="E14" s="15"/>
    </row>
    <row r="15" spans="1:7">
      <c r="B15" s="17" t="s">
        <v>37</v>
      </c>
      <c r="C15" s="13" t="s">
        <v>129</v>
      </c>
      <c r="D15" s="14"/>
      <c r="E15" s="15"/>
    </row>
    <row r="16" spans="1:7">
      <c r="B16" s="17" t="s">
        <v>37</v>
      </c>
      <c r="D16" s="14"/>
      <c r="E16" s="15"/>
    </row>
    <row r="17" spans="4:5">
      <c r="D17" s="14"/>
      <c r="E17" s="15"/>
    </row>
    <row r="18" spans="4:5">
      <c r="D18" s="14"/>
      <c r="E18" s="15"/>
    </row>
    <row r="19" spans="4:5">
      <c r="D19" s="14"/>
      <c r="E19" s="15"/>
    </row>
    <row r="20" spans="4:5">
      <c r="D20" s="14"/>
      <c r="E20" s="15"/>
    </row>
    <row r="21" spans="4:5">
      <c r="D21" s="14"/>
      <c r="E21" s="15"/>
    </row>
    <row r="22" spans="4:5">
      <c r="D22" s="14"/>
      <c r="E22" s="15"/>
    </row>
    <row r="23" spans="4:5">
      <c r="D23" s="14"/>
      <c r="E23" s="15"/>
    </row>
    <row r="24" spans="4:5">
      <c r="D24" s="14"/>
      <c r="E24" s="15"/>
    </row>
    <row r="25" spans="4:5">
      <c r="D25" s="14"/>
      <c r="E25" s="15"/>
    </row>
    <row r="26" spans="4:5">
      <c r="D26" s="14"/>
      <c r="E26" s="15"/>
    </row>
    <row r="27" spans="4:5">
      <c r="D27" s="14"/>
      <c r="E27" s="15"/>
    </row>
    <row r="28" spans="4:5">
      <c r="D28" s="14"/>
      <c r="E28" s="15"/>
    </row>
    <row r="29" spans="4:5">
      <c r="D29" s="14"/>
      <c r="E29" s="15"/>
    </row>
    <row r="30" spans="4:5">
      <c r="D30" s="14"/>
      <c r="E30" s="15"/>
    </row>
    <row r="31" spans="4:5">
      <c r="D31" s="14"/>
      <c r="E31" s="15"/>
    </row>
    <row r="32" spans="4:5">
      <c r="D32" s="14"/>
      <c r="E32" s="15"/>
    </row>
    <row r="33" spans="4:5">
      <c r="D33" s="14"/>
      <c r="E33" s="15"/>
    </row>
    <row r="34" spans="4:5">
      <c r="D34" s="14"/>
      <c r="E34" s="15"/>
    </row>
    <row r="35" spans="4:5">
      <c r="D35" s="14"/>
      <c r="E35" s="15"/>
    </row>
    <row r="36" spans="4:5">
      <c r="D36" s="14"/>
      <c r="E36" s="15"/>
    </row>
    <row r="37" spans="4:5">
      <c r="D37" s="14"/>
      <c r="E37" s="15"/>
    </row>
    <row r="38" spans="4:5">
      <c r="D38" s="14"/>
      <c r="E38" s="15"/>
    </row>
    <row r="39" spans="4:5">
      <c r="D39" s="14"/>
      <c r="E39" s="15"/>
    </row>
    <row r="40" spans="4:5">
      <c r="D40" s="14"/>
      <c r="E40" s="15"/>
    </row>
    <row r="41" spans="4:5">
      <c r="D41" s="14"/>
      <c r="E41" s="15"/>
    </row>
    <row r="42" spans="4:5">
      <c r="D42" s="14"/>
      <c r="E42" s="15"/>
    </row>
    <row r="43" spans="4:5">
      <c r="D43" s="14"/>
      <c r="E43" s="15"/>
    </row>
    <row r="44" spans="4:5">
      <c r="D44" s="14"/>
      <c r="E44" s="15"/>
    </row>
    <row r="45" spans="4:5">
      <c r="D45" s="14"/>
      <c r="E45" s="15"/>
    </row>
    <row r="46" spans="4:5">
      <c r="D46" s="14"/>
      <c r="E46" s="15"/>
    </row>
    <row r="47" spans="4:5">
      <c r="D47" s="14"/>
      <c r="E47" s="15"/>
    </row>
    <row r="48" spans="4:5">
      <c r="D48" s="14"/>
      <c r="E48" s="15"/>
    </row>
    <row r="49" spans="4:5">
      <c r="D49" s="14"/>
      <c r="E49" s="15"/>
    </row>
    <row r="50" spans="4:5">
      <c r="D50" s="14"/>
      <c r="E50" s="15"/>
    </row>
    <row r="51" spans="4:5">
      <c r="D51" s="14"/>
      <c r="E51" s="15"/>
    </row>
    <row r="52" spans="4:5">
      <c r="D52" s="14"/>
      <c r="E52" s="15"/>
    </row>
    <row r="53" spans="4:5">
      <c r="D53" s="14"/>
      <c r="E53" s="15"/>
    </row>
    <row r="54" spans="4:5">
      <c r="D54" s="14"/>
      <c r="E54" s="15"/>
    </row>
    <row r="55" spans="4:5">
      <c r="D55" s="14"/>
      <c r="E55" s="15"/>
    </row>
    <row r="56" spans="4:5">
      <c r="D56" s="14"/>
      <c r="E56" s="15"/>
    </row>
    <row r="57" spans="4:5">
      <c r="D57" s="14"/>
      <c r="E57" s="15"/>
    </row>
    <row r="58" spans="4:5">
      <c r="D58" s="14"/>
      <c r="E58" s="15"/>
    </row>
    <row r="59" spans="4:5">
      <c r="D59" s="14"/>
      <c r="E59" s="15"/>
    </row>
    <row r="60" spans="4:5">
      <c r="D60" s="14"/>
      <c r="E60" s="15"/>
    </row>
    <row r="61" spans="4:5">
      <c r="D61" s="14"/>
      <c r="E61" s="15"/>
    </row>
    <row r="62" spans="4:5">
      <c r="D62" s="14"/>
      <c r="E62" s="15"/>
    </row>
    <row r="63" spans="4:5">
      <c r="D63" s="14"/>
      <c r="E63" s="15"/>
    </row>
    <row r="64" spans="4:5">
      <c r="D64" s="14"/>
      <c r="E64" s="15"/>
    </row>
    <row r="65" spans="4:5">
      <c r="D65" s="14"/>
      <c r="E65" s="15"/>
    </row>
    <row r="66" spans="4:5">
      <c r="D66" s="14"/>
      <c r="E66" s="15"/>
    </row>
    <row r="67" spans="4:5">
      <c r="D67" s="14"/>
      <c r="E67" s="15"/>
    </row>
    <row r="68" spans="4:5">
      <c r="D68" s="14"/>
      <c r="E68" s="15"/>
    </row>
    <row r="69" spans="4:5">
      <c r="D69" s="14"/>
      <c r="E69" s="15"/>
    </row>
    <row r="70" spans="4:5">
      <c r="D70" s="14"/>
      <c r="E70" s="15"/>
    </row>
    <row r="71" spans="4:5">
      <c r="D71" s="14"/>
      <c r="E71" s="15"/>
    </row>
    <row r="72" spans="4:5">
      <c r="D72" s="14"/>
      <c r="E72" s="15"/>
    </row>
    <row r="73" spans="4:5">
      <c r="D73" s="14"/>
      <c r="E73" s="15"/>
    </row>
    <row r="74" spans="4:5">
      <c r="D74" s="14"/>
      <c r="E74" s="15"/>
    </row>
    <row r="75" spans="4:5">
      <c r="D75" s="14"/>
      <c r="E75" s="15"/>
    </row>
    <row r="76" spans="4:5">
      <c r="D76" s="14"/>
      <c r="E76" s="15"/>
    </row>
    <row r="77" spans="4:5">
      <c r="D77" s="14"/>
      <c r="E77" s="15"/>
    </row>
    <row r="78" spans="4:5">
      <c r="D78" s="14"/>
      <c r="E78" s="15"/>
    </row>
    <row r="79" spans="4:5">
      <c r="D79" s="14"/>
      <c r="E79" s="15"/>
    </row>
    <row r="80" spans="4:5">
      <c r="D80" s="14"/>
      <c r="E80" s="15"/>
    </row>
    <row r="81" spans="4:5">
      <c r="D81" s="14"/>
      <c r="E81" s="15"/>
    </row>
    <row r="82" spans="4:5">
      <c r="D82" s="14"/>
      <c r="E82" s="15"/>
    </row>
    <row r="83" spans="4:5">
      <c r="D83" s="14"/>
      <c r="E83" s="15"/>
    </row>
    <row r="84" spans="4:5">
      <c r="D84" s="14"/>
      <c r="E84" s="15"/>
    </row>
    <row r="85" spans="4:5">
      <c r="D85" s="14"/>
      <c r="E85" s="15"/>
    </row>
    <row r="86" spans="4:5">
      <c r="D86" s="14"/>
      <c r="E86" s="15"/>
    </row>
    <row r="87" spans="4:5">
      <c r="D87" s="14"/>
      <c r="E87" s="15"/>
    </row>
    <row r="88" spans="4:5">
      <c r="D88" s="14"/>
      <c r="E88" s="15"/>
    </row>
    <row r="89" spans="4:5">
      <c r="D89" s="14"/>
      <c r="E89" s="15"/>
    </row>
    <row r="90" spans="4:5">
      <c r="D90" s="14"/>
      <c r="E90" s="15"/>
    </row>
    <row r="91" spans="4:5">
      <c r="D91" s="14"/>
      <c r="E91" s="15"/>
    </row>
    <row r="92" spans="4:5">
      <c r="D92" s="14"/>
      <c r="E92" s="15"/>
    </row>
    <row r="93" spans="4:5">
      <c r="D93" s="14"/>
      <c r="E93" s="15"/>
    </row>
    <row r="94" spans="4:5">
      <c r="D94" s="14"/>
      <c r="E94" s="15"/>
    </row>
    <row r="95" spans="4:5">
      <c r="D95" s="14"/>
      <c r="E95" s="15"/>
    </row>
    <row r="96" spans="4:5">
      <c r="D96" s="14"/>
      <c r="E96" s="15"/>
    </row>
    <row r="97" spans="4:5">
      <c r="D97" s="14"/>
      <c r="E97" s="15"/>
    </row>
    <row r="98" spans="4:5">
      <c r="D98" s="14"/>
      <c r="E98" s="15"/>
    </row>
    <row r="99" spans="4:5">
      <c r="D99" s="14"/>
      <c r="E99" s="15"/>
    </row>
    <row r="100" spans="4:5">
      <c r="D100" s="14"/>
      <c r="E100" s="15"/>
    </row>
  </sheetData>
  <dataValidations count="1">
    <dataValidation type="list" allowBlank="1" showInputMessage="1" showErrorMessage="1" sqref="C3:C151" xr:uid="{00000000-0002-0000-0200-000000000000}">
      <formula1>INDIRECT(SUBSTITUTE(B3," ","_"))</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Statuses!$B$1:$H$1</xm:f>
          </x14:formula1>
          <xm:sqref>B101:B151</xm:sqref>
        </x14:dataValidation>
        <x14:dataValidation type="list" allowBlank="1" showInputMessage="1" showErrorMessage="1" xr:uid="{00000000-0002-0000-0200-000002000000}">
          <x14:formula1>
            <xm:f>Statuses!$B$1:$I$1</xm:f>
          </x14:formula1>
          <xm:sqref>B3:B100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6"/>
  <sheetViews>
    <sheetView rightToLeft="1" zoomScale="110" zoomScaleNormal="110" workbookViewId="0"/>
  </sheetViews>
  <sheetFormatPr defaultColWidth="9" defaultRowHeight="18"/>
  <cols>
    <col min="1" max="1" width="16.7109375" style="7" customWidth="1"/>
    <col min="2" max="2" width="64.85546875" style="7" bestFit="1" customWidth="1"/>
    <col min="3" max="3" width="86.85546875" style="7" bestFit="1" customWidth="1"/>
    <col min="4" max="4" width="67.140625" style="7" bestFit="1" customWidth="1"/>
    <col min="5" max="5" width="81" style="7" bestFit="1" customWidth="1"/>
    <col min="6" max="6" width="60.7109375" style="7" customWidth="1"/>
    <col min="7" max="7" width="70.5703125" style="7" bestFit="1" customWidth="1"/>
    <col min="8" max="8" width="81.42578125" style="7" bestFit="1" customWidth="1"/>
    <col min="9" max="9" width="96.140625" style="7" bestFit="1" customWidth="1"/>
    <col min="10" max="10" width="9" style="7"/>
    <col min="11" max="11" width="26.42578125" style="7" customWidth="1"/>
    <col min="12" max="12" width="9" style="7"/>
    <col min="13" max="13" width="34.42578125" style="7" bestFit="1" customWidth="1"/>
    <col min="14" max="14" width="33" style="7" customWidth="1"/>
    <col min="15" max="16384" width="9" style="7"/>
  </cols>
  <sheetData>
    <row r="1" spans="1:14">
      <c r="A1" s="6" t="s">
        <v>34</v>
      </c>
      <c r="B1" s="6" t="s">
        <v>36</v>
      </c>
      <c r="C1" s="6" t="s">
        <v>37</v>
      </c>
      <c r="D1" s="6" t="s">
        <v>38</v>
      </c>
      <c r="E1" s="6" t="s">
        <v>39</v>
      </c>
      <c r="F1" s="6" t="s">
        <v>40</v>
      </c>
      <c r="G1" s="6" t="s">
        <v>41</v>
      </c>
      <c r="H1" s="6" t="s">
        <v>42</v>
      </c>
      <c r="I1" s="6" t="s">
        <v>148</v>
      </c>
      <c r="K1" s="6" t="s">
        <v>11</v>
      </c>
      <c r="M1" s="6" t="s">
        <v>158</v>
      </c>
      <c r="N1" s="6" t="s">
        <v>160</v>
      </c>
    </row>
    <row r="2" spans="1:14" ht="36">
      <c r="A2" s="6" t="s">
        <v>36</v>
      </c>
      <c r="B2" s="6" t="s">
        <v>172</v>
      </c>
      <c r="C2" s="6" t="s">
        <v>46</v>
      </c>
      <c r="D2" s="6" t="s">
        <v>75</v>
      </c>
      <c r="E2" s="6" t="s">
        <v>66</v>
      </c>
      <c r="F2" s="6" t="s">
        <v>76</v>
      </c>
      <c r="G2" s="6" t="s">
        <v>102</v>
      </c>
      <c r="H2" s="6" t="s">
        <v>127</v>
      </c>
      <c r="I2" s="8" t="s">
        <v>138</v>
      </c>
      <c r="K2" s="6" t="s">
        <v>155</v>
      </c>
      <c r="M2" s="6" t="s">
        <v>182</v>
      </c>
      <c r="N2" s="6" t="s">
        <v>190</v>
      </c>
    </row>
    <row r="3" spans="1:14">
      <c r="A3" s="6" t="s">
        <v>37</v>
      </c>
      <c r="B3" s="6" t="s">
        <v>53</v>
      </c>
      <c r="C3" s="6" t="s">
        <v>47</v>
      </c>
      <c r="D3" s="6" t="s">
        <v>55</v>
      </c>
      <c r="E3" s="6" t="s">
        <v>67</v>
      </c>
      <c r="F3" s="6" t="s">
        <v>77</v>
      </c>
      <c r="G3" s="6" t="s">
        <v>103</v>
      </c>
      <c r="H3" s="6" t="s">
        <v>125</v>
      </c>
      <c r="I3" s="8" t="s">
        <v>132</v>
      </c>
      <c r="K3" s="6" t="s">
        <v>154</v>
      </c>
      <c r="M3" s="6" t="s">
        <v>183</v>
      </c>
      <c r="N3" s="6" t="s">
        <v>191</v>
      </c>
    </row>
    <row r="4" spans="1:14">
      <c r="A4" s="6" t="s">
        <v>38</v>
      </c>
      <c r="B4" s="6" t="s">
        <v>43</v>
      </c>
      <c r="C4" s="6" t="s">
        <v>129</v>
      </c>
      <c r="D4" s="6" t="s">
        <v>64</v>
      </c>
      <c r="E4" s="6" t="s">
        <v>73</v>
      </c>
      <c r="F4" s="6" t="s">
        <v>78</v>
      </c>
      <c r="G4" s="6" t="s">
        <v>95</v>
      </c>
      <c r="H4" s="6" t="s">
        <v>106</v>
      </c>
      <c r="I4" s="8" t="s">
        <v>139</v>
      </c>
      <c r="K4" s="6" t="s">
        <v>156</v>
      </c>
      <c r="M4" s="6" t="s">
        <v>184</v>
      </c>
      <c r="N4" s="6" t="s">
        <v>192</v>
      </c>
    </row>
    <row r="5" spans="1:14">
      <c r="A5" s="6" t="s">
        <v>39</v>
      </c>
      <c r="B5" s="6" t="s">
        <v>44</v>
      </c>
      <c r="C5" s="6" t="s">
        <v>49</v>
      </c>
      <c r="D5" s="6" t="s">
        <v>56</v>
      </c>
      <c r="E5" s="6" t="s">
        <v>175</v>
      </c>
      <c r="F5" s="6" t="s">
        <v>79</v>
      </c>
      <c r="G5" s="6" t="s">
        <v>101</v>
      </c>
      <c r="H5" s="6" t="s">
        <v>180</v>
      </c>
      <c r="I5" s="8" t="s">
        <v>134</v>
      </c>
      <c r="M5" s="6" t="s">
        <v>185</v>
      </c>
      <c r="N5" s="6" t="s">
        <v>193</v>
      </c>
    </row>
    <row r="6" spans="1:14">
      <c r="A6" s="6" t="s">
        <v>40</v>
      </c>
      <c r="C6" s="6" t="s">
        <v>50</v>
      </c>
      <c r="D6" s="6" t="s">
        <v>57</v>
      </c>
      <c r="E6" s="6" t="s">
        <v>71</v>
      </c>
      <c r="F6" s="6" t="s">
        <v>89</v>
      </c>
      <c r="G6" s="6" t="s">
        <v>130</v>
      </c>
      <c r="H6" s="6" t="s">
        <v>131</v>
      </c>
      <c r="I6" s="8" t="s">
        <v>133</v>
      </c>
      <c r="M6" s="6" t="s">
        <v>186</v>
      </c>
      <c r="N6" s="6" t="s">
        <v>194</v>
      </c>
    </row>
    <row r="7" spans="1:14">
      <c r="A7" s="6" t="s">
        <v>41</v>
      </c>
      <c r="C7" s="6" t="s">
        <v>52</v>
      </c>
      <c r="D7" s="6" t="s">
        <v>65</v>
      </c>
      <c r="E7" s="6" t="s">
        <v>68</v>
      </c>
      <c r="F7" s="6" t="s">
        <v>90</v>
      </c>
      <c r="G7" s="6" t="s">
        <v>99</v>
      </c>
      <c r="H7" s="6" t="s">
        <v>104</v>
      </c>
      <c r="I7" s="8" t="s">
        <v>99</v>
      </c>
      <c r="M7" s="6" t="s">
        <v>187</v>
      </c>
      <c r="N7" s="6" t="s">
        <v>195</v>
      </c>
    </row>
    <row r="8" spans="1:14">
      <c r="A8" s="6" t="s">
        <v>42</v>
      </c>
      <c r="C8" s="6" t="s">
        <v>60</v>
      </c>
      <c r="D8" s="6" t="s">
        <v>58</v>
      </c>
      <c r="E8" s="6" t="s">
        <v>69</v>
      </c>
      <c r="F8" s="6" t="s">
        <v>91</v>
      </c>
      <c r="G8" s="6" t="s">
        <v>98</v>
      </c>
      <c r="H8" s="6" t="s">
        <v>99</v>
      </c>
      <c r="I8" s="8" t="s">
        <v>135</v>
      </c>
      <c r="M8" s="6" t="s">
        <v>188</v>
      </c>
      <c r="N8" s="6" t="s">
        <v>196</v>
      </c>
    </row>
    <row r="9" spans="1:14">
      <c r="A9" s="6" t="s">
        <v>147</v>
      </c>
      <c r="C9" s="9" t="s">
        <v>48</v>
      </c>
      <c r="D9" s="6" t="s">
        <v>61</v>
      </c>
      <c r="E9" s="6" t="s">
        <v>70</v>
      </c>
      <c r="F9" s="6" t="s">
        <v>80</v>
      </c>
      <c r="G9" s="6" t="s">
        <v>96</v>
      </c>
      <c r="H9" s="6" t="s">
        <v>128</v>
      </c>
      <c r="I9" s="8" t="s">
        <v>140</v>
      </c>
      <c r="M9" s="6" t="s">
        <v>189</v>
      </c>
      <c r="N9" s="6" t="s">
        <v>197</v>
      </c>
    </row>
    <row r="10" spans="1:14">
      <c r="C10" s="6" t="s">
        <v>51</v>
      </c>
      <c r="D10" s="6" t="s">
        <v>62</v>
      </c>
      <c r="E10" s="6" t="s">
        <v>72</v>
      </c>
      <c r="F10" s="6" t="s">
        <v>81</v>
      </c>
      <c r="G10" s="6" t="s">
        <v>94</v>
      </c>
      <c r="H10" s="6" t="s">
        <v>107</v>
      </c>
      <c r="I10" s="8" t="s">
        <v>136</v>
      </c>
      <c r="M10" s="6"/>
      <c r="N10" s="6" t="s">
        <v>198</v>
      </c>
    </row>
    <row r="11" spans="1:14">
      <c r="C11" s="6" t="s">
        <v>54</v>
      </c>
      <c r="D11" s="6" t="s">
        <v>59</v>
      </c>
      <c r="E11" s="6" t="s">
        <v>74</v>
      </c>
      <c r="F11" s="6" t="s">
        <v>82</v>
      </c>
      <c r="G11" s="6" t="s">
        <v>92</v>
      </c>
      <c r="H11" s="6" t="s">
        <v>108</v>
      </c>
      <c r="I11" s="8" t="s">
        <v>141</v>
      </c>
      <c r="M11" s="6"/>
      <c r="N11" s="6" t="s">
        <v>199</v>
      </c>
    </row>
    <row r="12" spans="1:14">
      <c r="D12" s="6" t="s">
        <v>51</v>
      </c>
      <c r="E12" s="6" t="s">
        <v>176</v>
      </c>
      <c r="F12" s="6" t="s">
        <v>83</v>
      </c>
      <c r="G12" s="6" t="s">
        <v>93</v>
      </c>
      <c r="H12" s="6" t="s">
        <v>110</v>
      </c>
      <c r="I12" s="8" t="s">
        <v>142</v>
      </c>
      <c r="M12" s="6"/>
      <c r="N12" s="6" t="s">
        <v>200</v>
      </c>
    </row>
    <row r="13" spans="1:14">
      <c r="D13" s="6" t="s">
        <v>63</v>
      </c>
      <c r="F13" s="6" t="s">
        <v>84</v>
      </c>
      <c r="G13" s="6" t="s">
        <v>97</v>
      </c>
      <c r="H13" s="6" t="s">
        <v>109</v>
      </c>
      <c r="I13" s="8" t="s">
        <v>137</v>
      </c>
      <c r="M13" s="6"/>
      <c r="N13" s="6" t="s">
        <v>201</v>
      </c>
    </row>
    <row r="14" spans="1:14">
      <c r="F14" s="6" t="s">
        <v>85</v>
      </c>
      <c r="G14" s="6" t="s">
        <v>100</v>
      </c>
      <c r="H14" s="6" t="s">
        <v>111</v>
      </c>
      <c r="I14" s="8" t="s">
        <v>143</v>
      </c>
      <c r="M14" s="6"/>
      <c r="N14" s="6" t="s">
        <v>202</v>
      </c>
    </row>
    <row r="15" spans="1:14">
      <c r="F15" s="6" t="s">
        <v>86</v>
      </c>
      <c r="G15" s="6" t="s">
        <v>122</v>
      </c>
      <c r="H15" s="6" t="s">
        <v>112</v>
      </c>
      <c r="I15" s="8" t="s">
        <v>144</v>
      </c>
    </row>
    <row r="16" spans="1:14">
      <c r="F16" s="6" t="s">
        <v>87</v>
      </c>
      <c r="G16" s="6" t="s">
        <v>123</v>
      </c>
      <c r="H16" s="6" t="s">
        <v>113</v>
      </c>
    </row>
    <row r="17" spans="6:8">
      <c r="F17" s="6" t="s">
        <v>88</v>
      </c>
      <c r="G17" s="6" t="s">
        <v>178</v>
      </c>
      <c r="H17" s="6" t="s">
        <v>114</v>
      </c>
    </row>
    <row r="18" spans="6:8">
      <c r="G18" s="6" t="s">
        <v>177</v>
      </c>
      <c r="H18" s="6" t="s">
        <v>115</v>
      </c>
    </row>
    <row r="19" spans="6:8">
      <c r="G19" s="6" t="s">
        <v>179</v>
      </c>
      <c r="H19" s="6" t="s">
        <v>116</v>
      </c>
    </row>
    <row r="20" spans="6:8">
      <c r="H20" s="6" t="s">
        <v>117</v>
      </c>
    </row>
    <row r="21" spans="6:8">
      <c r="H21" s="6" t="s">
        <v>118</v>
      </c>
    </row>
    <row r="22" spans="6:8">
      <c r="H22" s="6" t="s">
        <v>120</v>
      </c>
    </row>
    <row r="23" spans="6:8">
      <c r="H23" s="6" t="s">
        <v>121</v>
      </c>
    </row>
    <row r="24" spans="6:8">
      <c r="H24" s="6" t="s">
        <v>119</v>
      </c>
    </row>
    <row r="25" spans="6:8">
      <c r="H25" s="6" t="s">
        <v>126</v>
      </c>
    </row>
    <row r="26" spans="6:8">
      <c r="H26" s="6" t="s">
        <v>124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23</vt:i4>
      </vt:variant>
    </vt:vector>
  </HeadingPairs>
  <TitlesOfParts>
    <vt:vector size="27" baseType="lpstr">
      <vt:lpstr>شناسنامه پروژه</vt:lpstr>
      <vt:lpstr>گانت چارت</vt:lpstr>
      <vt:lpstr>گام نمای فعالیت های صندوق</vt:lpstr>
      <vt:lpstr>Statuses</vt:lpstr>
      <vt:lpstr>'گانت چارت'!_Hlk203472625</vt:lpstr>
      <vt:lpstr>'گانت چارت'!_Hlk203472715</vt:lpstr>
      <vt:lpstr>'گانت چارت'!_Hlk203472783</vt:lpstr>
      <vt:lpstr>'گانت چارت'!_Hlk203472817</vt:lpstr>
      <vt:lpstr>'گانت چارت'!_Hlk203472951</vt:lpstr>
      <vt:lpstr>'گانت چارت'!_Hlk203473077</vt:lpstr>
      <vt:lpstr>'گانت چارت'!_Hlk203473152</vt:lpstr>
      <vt:lpstr>'گانت چارت'!_Hlk203473189</vt:lpstr>
      <vt:lpstr>'گانت چارت'!_Hlk203473262</vt:lpstr>
      <vt:lpstr>'گانت چارت'!_Hlk203473335</vt:lpstr>
      <vt:lpstr>'گانت چارت'!_Hlk203473384</vt:lpstr>
      <vt:lpstr>'گانت چارت'!_Hlk203473419</vt:lpstr>
      <vt:lpstr>'گانت چارت'!_Hlk203473481</vt:lpstr>
      <vt:lpstr>'گانت چارت'!_Hlk203473522</vt:lpstr>
      <vt:lpstr>ارزیابی_اولیه</vt:lpstr>
      <vt:lpstr>ارزیابی_موشکافانه</vt:lpstr>
      <vt:lpstr>تصویب_طرح</vt:lpstr>
      <vt:lpstr>تنظیم_قرارداد</vt:lpstr>
      <vt:lpstr>خروج_از_صندوق</vt:lpstr>
      <vt:lpstr>دریافت_پروپوزال</vt:lpstr>
      <vt:lpstr>گام_اصلی</vt:lpstr>
      <vt:lpstr>مسیر_سبز</vt:lpstr>
      <vt:lpstr>نظارت_و_راهبری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Mohtadi</dc:creator>
  <cp:lastModifiedBy>Valizadeh ; MohamadReza</cp:lastModifiedBy>
  <dcterms:created xsi:type="dcterms:W3CDTF">2015-06-05T18:17:20Z</dcterms:created>
  <dcterms:modified xsi:type="dcterms:W3CDTF">2026-01-07T08:34:09Z</dcterms:modified>
</cp:coreProperties>
</file>