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Y:\Noavar\Project Charter\NF-1404-1004\"/>
    </mc:Choice>
  </mc:AlternateContent>
  <xr:revisionPtr revIDLastSave="0" documentId="13_ncr:1_{6BC79A9C-D1B9-4B6C-A3A5-4282BA8EFEF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شناسنامه پروژه" sheetId="3" r:id="rId1"/>
    <sheet name="گانت چارت" sheetId="6" r:id="rId2"/>
    <sheet name="گام نمای فعالیت های صندوق" sheetId="4" r:id="rId3"/>
    <sheet name="Statuses" sheetId="5" r:id="rId4"/>
  </sheets>
  <definedNames>
    <definedName name="_xlnm._FilterDatabase" localSheetId="0" hidden="1">'شناسنامه پروژه'!$C$6:$D$20</definedName>
    <definedName name="ارزیابی_اولیه">Statuses!$C$2:$C$11</definedName>
    <definedName name="ارزیابی_موشکافانه">Statuses!$D$2:$D$13</definedName>
    <definedName name="تصویب_طرح">Statuses!$E$2:$E$12</definedName>
    <definedName name="تنظیم_قرارداد">Statuses!$F$2:$F$17</definedName>
    <definedName name="خروج_از_صندوق">Statuses!$H$2:$H$26</definedName>
    <definedName name="دریافت_پروپوزال">Statuses!$B$2:$B$5</definedName>
    <definedName name="گام_اصلی">Statuses!$A$2:$A$9</definedName>
    <definedName name="مسیر_سبز">Statuses!$I$1:$I$15</definedName>
    <definedName name="نظارت_و_راهبری">Statuses!$G$2:$G$19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8" i="3" l="1"/>
  <c r="D74" i="3"/>
  <c r="D60" i="3"/>
  <c r="D66" i="3"/>
  <c r="D65" i="3"/>
</calcChain>
</file>

<file path=xl/sharedStrings.xml><?xml version="1.0" encoding="utf-8"?>
<sst xmlns="http://schemas.openxmlformats.org/spreadsheetml/2006/main" count="290" uniqueCount="243">
  <si>
    <t>شناسنامه پروژه</t>
  </si>
  <si>
    <t xml:space="preserve">کد یکتا </t>
  </si>
  <si>
    <t xml:space="preserve">مجری </t>
  </si>
  <si>
    <t>عنوان فارسی  (FA)</t>
  </si>
  <si>
    <t>عنوان انگلیسی  (EN)</t>
  </si>
  <si>
    <t>مبلغ  (میلیون ریال)</t>
  </si>
  <si>
    <t xml:space="preserve">           اطلاعات عمومی پروژه</t>
  </si>
  <si>
    <t>آدرس</t>
  </si>
  <si>
    <t>تعداد اعضای تیم</t>
  </si>
  <si>
    <t>نام اعضای تیم</t>
  </si>
  <si>
    <t>استان محل استقرار اصلی</t>
  </si>
  <si>
    <t>نوع مجری</t>
  </si>
  <si>
    <t>صاحبین امضا</t>
  </si>
  <si>
    <t>شهر محل استقرار</t>
  </si>
  <si>
    <t>مدت زمان پروژه (ماه)</t>
  </si>
  <si>
    <t xml:space="preserve">            مشخات تیم مجری</t>
  </si>
  <si>
    <t xml:space="preserve">            اطلاعات زمان بندی</t>
  </si>
  <si>
    <t>تاریخ شروع برنامه ریزی شده</t>
  </si>
  <si>
    <t>تاریخ پایان برنامه ریزی شده</t>
  </si>
  <si>
    <t>تاریخ شروع واقعی</t>
  </si>
  <si>
    <t>تاریخ پایان واقعی</t>
  </si>
  <si>
    <t>وضعیت فعلی</t>
  </si>
  <si>
    <t>ایمیل</t>
  </si>
  <si>
    <t>تلفن 1</t>
  </si>
  <si>
    <t>تلفن 2</t>
  </si>
  <si>
    <t>تلفن 3</t>
  </si>
  <si>
    <t xml:space="preserve">            اطلاعات مالی</t>
  </si>
  <si>
    <t>مبلغ تایید شده بر اساس پیشرفت پروژه</t>
  </si>
  <si>
    <t>مبلغ پرداخت شده به مجری</t>
  </si>
  <si>
    <t>مبلغ در انتظار پرداخت</t>
  </si>
  <si>
    <t>مدیر پروژه</t>
  </si>
  <si>
    <t>سهم دانشمند از تامین مالی پروژه</t>
  </si>
  <si>
    <t>سایر حامیان مالی</t>
  </si>
  <si>
    <t xml:space="preserve">سهم سایر حامیان مالی در تامین مالی </t>
  </si>
  <si>
    <t>گام اصلی</t>
  </si>
  <si>
    <t>توضیح</t>
  </si>
  <si>
    <t>دریافت پروپوزال</t>
  </si>
  <si>
    <t>ارزیابی اولیه</t>
  </si>
  <si>
    <t>ارزیابی موشکافانه</t>
  </si>
  <si>
    <t>تصویب طرح</t>
  </si>
  <si>
    <t>تنظیم قرارداد</t>
  </si>
  <si>
    <t>نظارت و راهبری</t>
  </si>
  <si>
    <t>خروج از صندوق</t>
  </si>
  <si>
    <t>طرح اصلاح شده دریافت شده است</t>
  </si>
  <si>
    <t>تایید شکلی مستندات و برای ورود به ارزیابی اولیه به کارشناس مربوطه ارجاع شد</t>
  </si>
  <si>
    <t>طرح دریافت شده  و ضمن ایجاد شناسنامه پروژه، به آن کد تخصیص داده شده است</t>
  </si>
  <si>
    <t>طرح جهت ارزیابی اولیه دریافت شده است.</t>
  </si>
  <si>
    <t>پرامپت ارزیابی اولیه اجرا و گزارش ارزیابی آماده شده است.</t>
  </si>
  <si>
    <t>TRL طرح با TRL هدف صندوق نوآور مغایر بوده و طرح به کمیته سرمایه گذاری صندوق ارجاع شده است</t>
  </si>
  <si>
    <t>نیازمند جلسه حضوری/مجازی با تیم و تاریخ جلسه مشخص شده است.</t>
  </si>
  <si>
    <t>جلسه با تیم برگزار شد.</t>
  </si>
  <si>
    <t>طرح قابلیت پذیرش نداشته و رد درخواست به تیم پژوهشی اعلام شده است.</t>
  </si>
  <si>
    <t>طرح نیاز به اصلاح دارد و اصلاحات به تیم اعلام شده است (در انتظار دریافت طرح اصلاح شده)</t>
  </si>
  <si>
    <t>مستندات بررسی شده و اصلاحات به تیم مجری اعلام شده است (در انتظار دریافت طرح اصلاح شده)</t>
  </si>
  <si>
    <t xml:space="preserve">طرح در ارزیابی اولیه حد نصاب کافی را کسب کرده و طرح به همراه گزارش ارزیابی اولیه برای شروع ارزیابی موشکافانه ارسال شده است. </t>
  </si>
  <si>
    <t xml:space="preserve">در حال تعیین تیم داوری/راهبری/ناظر </t>
  </si>
  <si>
    <t>طرح تحت بررسی توسط داور/راهبر/ناظر است</t>
  </si>
  <si>
    <t>با توجه به گذشت زمان و عدم ارسال نتیجه بررسی برای داور/داوران دارای تاخیر یادآوری ارسال شده است</t>
  </si>
  <si>
    <t>در حال جمع بندی و تهیه گزارش ازریابی موشکافانه</t>
  </si>
  <si>
    <t>طرح نیازمند اصلاح بوده و اصلاحات به مجری اعلام شده است (در انتظار دریافت طرح اصلاح شده)</t>
  </si>
  <si>
    <t>طرح اصلاح شده دریافت شده است.</t>
  </si>
  <si>
    <t>گزارش ارزیابی اولیه تهیه شده و برای کارگروه ارزیابی صندوق ارسال شده است.</t>
  </si>
  <si>
    <t>در انتظار تصمیم گیری توسط کارگروه ارزیابی</t>
  </si>
  <si>
    <t>طرح در مرحلع ارزیابی موشکافانه تایید شده و آماده تصویب در هیئت مدیره موسسه می باشد.</t>
  </si>
  <si>
    <t>طرح برای داور/راهبر/ناظر ارسال شده است</t>
  </si>
  <si>
    <t>نتیجه تمامی داوران دریافت شده است.</t>
  </si>
  <si>
    <t>طرح برای تصویب در شورای راهبری دریافت شده است</t>
  </si>
  <si>
    <t xml:space="preserve">طرح در دستور جلسه شورای راهبری قرار گرفته است </t>
  </si>
  <si>
    <t>طرح مورد تایید شورای راهبری قرار رفته است.</t>
  </si>
  <si>
    <t>طرح در دستور جلسه هیئت مدیره قرار گرفته است.</t>
  </si>
  <si>
    <t>طرح در هیئت مدیره تصویب شد</t>
  </si>
  <si>
    <t>طرح در شورای راهبری رد و به تیم اطلاع رسانی شد</t>
  </si>
  <si>
    <t>طرح در هیئت مدیره رد و به تیم اطلاع رسانی شد</t>
  </si>
  <si>
    <t>بر اساس نظر شورای راهبری طرح نیازمند اصلاح مختصر است (در انتظار دریافت طرح اصلاح شده و برگشت به شورای راهبری)</t>
  </si>
  <si>
    <t>بر اساس نظر هیئت مدیره طرح نیازمند اصلاح مختصر است (در انتظار دریافت طرح اصلاح شده و برگشت به شورای راهبری)</t>
  </si>
  <si>
    <t>طرح جهت ارزیابی موشکلفانه دریافت شده است</t>
  </si>
  <si>
    <t>مصوبه هیئت مدیره جهت تنظیم قرارداد دریافت شده است</t>
  </si>
  <si>
    <t>تیپ قرارداد مشخص و برای مجری ارسال شد</t>
  </si>
  <si>
    <t>در انتظار دریافت مشخصات و اطلاعات مورد نیاز قرارداد از سوی مجری و/یا راهبر</t>
  </si>
  <si>
    <t>تمامی اطلاعات جهت تنظیم قرارداد دریافت شده است</t>
  </si>
  <si>
    <t>امضای مجری تکمیل شده است</t>
  </si>
  <si>
    <t>امضای راهبر تکمیل شده است</t>
  </si>
  <si>
    <t>برای امضای صاحبین امضای موسسه ارسال شده است</t>
  </si>
  <si>
    <t>امضای مدیرعامل اخذ شده است</t>
  </si>
  <si>
    <t>امضای عضو هیئت مدیره اخذ شده است</t>
  </si>
  <si>
    <t>تمامی امضاها اخذ شده است در انتظار تخصیص شماره نامه</t>
  </si>
  <si>
    <t>شماره نامه تخصیص و فایل ارسال شده است</t>
  </si>
  <si>
    <t>نسخه راهبر تحویل شده است</t>
  </si>
  <si>
    <t>نسخه مجری تحویل شده است</t>
  </si>
  <si>
    <t>قرارداد تنظیم شده است</t>
  </si>
  <si>
    <t xml:space="preserve"> زمان جلسه حضوری جهت امضای مجری مشخص شده است</t>
  </si>
  <si>
    <t>قرارداد به صورت غیر حضوری برای امضای الکترونیکی ارسال شده است</t>
  </si>
  <si>
    <t>پرداخت انجام شده است (بر اساس تاریخ واریز)</t>
  </si>
  <si>
    <t>اسناد پرداخت تحویل صندوق شده است.</t>
  </si>
  <si>
    <t>دستور پرداخت صادر شد - در انتظار پرداخت</t>
  </si>
  <si>
    <t>گزارش پیشرفت و صورت وضعیت دریافت شده است</t>
  </si>
  <si>
    <t>گزارش پیشرفت/صورت وضعیت مورد تایید صندوق می باشد</t>
  </si>
  <si>
    <t>اسناد پرداخت به تیم مجری ارسال شده است</t>
  </si>
  <si>
    <t>درصد و گزارش پیشرفت/صورت وضعیت نیازمند اصلاح است و اصلاحات اعلام شده است</t>
  </si>
  <si>
    <t>جلسه دفاع برگزار شده است</t>
  </si>
  <si>
    <t>گزارش پیشرفت ماهانه دریافت شده است</t>
  </si>
  <si>
    <t>بررسی پیشرفت نیازمند جلسه دفاع است</t>
  </si>
  <si>
    <t>قرارداد نیازمند پیش پرداخت بوده و در انتظار دریافت تضامین بر اساس قرارداد است</t>
  </si>
  <si>
    <t>تضامین مطابق قرارداد دریافت شده یا نیاز به تضمین نمی باشد (در انتظار صدور دستور پرداخت)</t>
  </si>
  <si>
    <t>هماهنگی جلسه دفاع انجام شده است ( در انتظار برگزاری جلسه دفاع)</t>
  </si>
  <si>
    <t>سهم موسسه دانشمند در تامین مالی (درصد)</t>
  </si>
  <si>
    <t>اسناد و محصولات ارسالی مورد تایید قرار گرفته است</t>
  </si>
  <si>
    <t>گزارش و یا محصول نیازمند اصلاح است و اصلاحات به مجری اعلام شده است (در انتظار اصلاح توسط مجری)</t>
  </si>
  <si>
    <t>صورت وضعیت فاز نهایی صادر شده است - در انتظار پرداخت</t>
  </si>
  <si>
    <t>اسناد پرداخت فاز نهایی تحویل صندوق شده است.</t>
  </si>
  <si>
    <t>پرداخت فاز نهایی انجام شده است (بر اساس تاریخ واریز)</t>
  </si>
  <si>
    <t>اسناد پرداخت فاز نهایی به تیم مجری ارسال شده است</t>
  </si>
  <si>
    <t>فاز نهایی پرداخت شده و در انتظار آزاد سازی حسن انجام کار می باشد</t>
  </si>
  <si>
    <t>دوره تضمین سپری شده و حسن انجام کار آماده آزاد سازی می باشد</t>
  </si>
  <si>
    <t>دستور پرداخت حسن انجام کار صادر شده است - در انتظار پرداخت</t>
  </si>
  <si>
    <t>اسناد پرداخت حسن انجام کار تحویل صندوق شده است.</t>
  </si>
  <si>
    <t>اسناد پرداخت حسن انجام کار به تیم مجری ارسال شده است</t>
  </si>
  <si>
    <t>قرار داد فاقد حسن انجام کار بوده و تصفیه کامل با تیم انجام شده است</t>
  </si>
  <si>
    <t>حضور تیم پروژه در یکی از رویدادهای سرمایه گذاری جانمایی شده و زمان به تیم مجری اعلام شده است</t>
  </si>
  <si>
    <t>تیم مجری وارد فاز شتابدهی/فروش محصول/ ...  شده است (با ذکر توضیحات)</t>
  </si>
  <si>
    <t>تیم مجری در رویداد سرمایه گذاری شرکت کرده است</t>
  </si>
  <si>
    <t xml:space="preserve">تیم مجری قابلیت معرفی به صندوق و یا معاونت های موسسه را دارد - اطلاعات تیم و سوابق به واحد مربوطه ارسال شده است </t>
  </si>
  <si>
    <t>زمان پروژه به پایان رسیده و امکان تمدید زمان وجود ندارد(ورود به فاز خروج)</t>
  </si>
  <si>
    <t>زمان پروژه به پایان رسیده و نیازمند تنظیم متمم قرارداد می باشد (بازگشت به فاز تنظیم قرارداد)</t>
  </si>
  <si>
    <t xml:space="preserve">پروژه به دلایل فنی/ تیم / فناوری و ... قابلیت ادامه نداشته و در فازهای میانی لغو شده است. </t>
  </si>
  <si>
    <t xml:space="preserve"> اسناد و محصولات توسط مجری تحویل شده است </t>
  </si>
  <si>
    <t>پروژه خاتمه یافته است (درصد پیشرفت نهایی در توضیحات ذکر شود)</t>
  </si>
  <si>
    <t>گزارش نهایی مورد تایید راهبر  به صندوق تحویل شده است.</t>
  </si>
  <si>
    <t>صورت مجلس پایان پروژه نگارش شده است</t>
  </si>
  <si>
    <t>نیازمند جلسه حضوری/مجازی با تیم - تماس با تیم برقرار شد ولی زمان جلسه مشخص نشده است (نیازمند پیگیری مجدد)</t>
  </si>
  <si>
    <t>هماهنگی جلسه دفاع انجام شده است ( زمان جلسه مشخص و در انتظار برگزاری جلسه دفاع)</t>
  </si>
  <si>
    <t>با تیم/راهبر برای دفاع تماس گرفته شد ولی زمان جلسه نهایی نشده است (نیازمند پیگیری مجدد)</t>
  </si>
  <si>
    <t>بر اساس نوع دستور هماهنگی اولیه با تیم به انجام رسید</t>
  </si>
  <si>
    <t>جلسه دفاع هماهنگ شد (در انتظار برگزار جلسه)</t>
  </si>
  <si>
    <t>با تیم/راهبر/موسسه برای دفاع تماس گرفته شد ولی زمان جلسه نهایی نشده است (نیازمند پیگیری مجدد)</t>
  </si>
  <si>
    <t>فرمت پروپوزال برای تیم مجری ارسال شده است</t>
  </si>
  <si>
    <t>طرح رد و به تیم مجری اعلام شد</t>
  </si>
  <si>
    <t>در انتظار تاییدات مورد نیاز (ناظر/موسسه) برای تنظیم قرارداد (در توضیحات ذکر شود)</t>
  </si>
  <si>
    <t>این پروژه با توجه به دستور و تصویب هیئت مدیره/مدیرعامل/ریاست و یا معاونت های بنیاد در مسیر سبز (فوری) قرار گرفت (در توضیحات ذکر شود)</t>
  </si>
  <si>
    <t>پروژه نیازمند جلسه دفاع است</t>
  </si>
  <si>
    <t>پروپوزال نهایی دریافت شده است</t>
  </si>
  <si>
    <t>طرح نیازمند اصلاح است (در انتظار اعمال تغییرات)</t>
  </si>
  <si>
    <t>کلیات طرح و پروپوزال مورد تایید قرار گرفته است</t>
  </si>
  <si>
    <t>تمامی تاییدات مورد نیاز دریافت شده است (ورود به گام تنظیم قرارداد - گام های طی شده در گام نما آورده شود)</t>
  </si>
  <si>
    <t>این طرح در فرآیند معمول صندوق قرار گرفته است (ورود به فاز دریافت پروپوزال و گام های طی شده در گام نما آورده شود)</t>
  </si>
  <si>
    <t>ساعت</t>
  </si>
  <si>
    <t>تاریخ عقد قرارداد</t>
  </si>
  <si>
    <t>میسر سبز</t>
  </si>
  <si>
    <t>مسیر سبز</t>
  </si>
  <si>
    <t>تاریخ (سال/روز/ماه)</t>
  </si>
  <si>
    <t>فعالیت مرتبط با گام اصلی</t>
  </si>
  <si>
    <t>وضعیت فعلی (بر اساس گام های اصلی)</t>
  </si>
  <si>
    <t>راهبر</t>
  </si>
  <si>
    <t>ناظر</t>
  </si>
  <si>
    <t>شرکت</t>
  </si>
  <si>
    <t>تیم فناور</t>
  </si>
  <si>
    <t>دانشگاه یا مرکز پژوهشی</t>
  </si>
  <si>
    <t>نام نماینده</t>
  </si>
  <si>
    <t>کلان محور</t>
  </si>
  <si>
    <t>چکیده پروژه (حداکثر 250 کلمه)</t>
  </si>
  <si>
    <t>زمینه اصلی</t>
  </si>
  <si>
    <t xml:space="preserve">            مساله پروژه</t>
  </si>
  <si>
    <t>پروژه مادر (در صورت وجود)</t>
  </si>
  <si>
    <t>بیان مسئله/فرصت</t>
  </si>
  <si>
    <t>توجیه کسب‌وکار (چرا این پروژه؟)</t>
  </si>
  <si>
    <t>هم‌راستایی با استراتژی سازمان</t>
  </si>
  <si>
    <t>اهداف کلان پروژه</t>
  </si>
  <si>
    <t>خروجی‌ها و تحویل‌دادنی‌ها (Deliverables)</t>
  </si>
  <si>
    <t>شاخص‌های کلیدی عملکرد (KPIs)</t>
  </si>
  <si>
    <t>معیارهای پذیرش (Acceptance Criteria)</t>
  </si>
  <si>
    <t xml:space="preserve">             اهداف و معیارهای موفقیت پروژه</t>
  </si>
  <si>
    <t>تاریخ واریز پیش پرداخت (در صورت وجود)</t>
  </si>
  <si>
    <t xml:space="preserve">طرح دریافت شده، به آن کد یکتا تخصیص داده شده است و شناسنامه پروژه ایجاد شده است </t>
  </si>
  <si>
    <t>درصد پیشرفت فعلی (تایید شده)</t>
  </si>
  <si>
    <t>شماره قرارداد</t>
  </si>
  <si>
    <t>بر اساس نظر شورای راهبری طرح نیازمند اصلاح و برگشت به فازهای قبلی ارزیابی است (در انتظار دریافت طرح اصلاح شده)</t>
  </si>
  <si>
    <t>بر اساس هیئت مدیره طرح نیازمند اصلاح و برگشت به فازهای قبلی ارزیابی است (در انتظار دریافت طرح اصلاح شده)</t>
  </si>
  <si>
    <t>فرآیند صدور معرفی نامه در صندوق نوآور به پایان رسید (در انتظار تکمیل فرایند توسط مدیر/معاونت مربوطه)</t>
  </si>
  <si>
    <t>تیم به معرفی نامه به  شرکت ها/ارگان ها نیاز دارد (شماره نامه در توضیحات)</t>
  </si>
  <si>
    <t>معرفی نامه صادر و ارسال شد (شماره نامه در توضیحات)</t>
  </si>
  <si>
    <t>اتمام پروژه نیازمند جلسه دفاع است</t>
  </si>
  <si>
    <t>ردیف</t>
  </si>
  <si>
    <t>امنیت غذایی</t>
  </si>
  <si>
    <t>حمل و نقل ترکیبی</t>
  </si>
  <si>
    <t>صنایع بالا دستی نفت و گاز</t>
  </si>
  <si>
    <t>صنعتی سازی ساختمان و فناوری های پیشرفته مرتبط</t>
  </si>
  <si>
    <t>اقتصاد دیجیتال و هوش مصنوعی</t>
  </si>
  <si>
    <t>معدن</t>
  </si>
  <si>
    <t>زنجیره ارزش فولاد</t>
  </si>
  <si>
    <t>سایر زمینه های فناوری</t>
  </si>
  <si>
    <t>صنایع معدنی</t>
  </si>
  <si>
    <t>انرژی و صنایع بالادستی نفت و گاز</t>
  </si>
  <si>
    <t>عمرانی و ساختمانی</t>
  </si>
  <si>
    <t>کشاورزی و دامپروری</t>
  </si>
  <si>
    <t>حمل و نقل، لجستیک و بازرگانی</t>
  </si>
  <si>
    <t>مالی و بانکی</t>
  </si>
  <si>
    <t>پتروشیمی (صنایع پایین‌دستی)</t>
  </si>
  <si>
    <t>توسعه نوآوری و امور دانش‌بنیان</t>
  </si>
  <si>
    <t>گردشگری و اکوتوریسم</t>
  </si>
  <si>
    <t>صنایع غذایی</t>
  </si>
  <si>
    <t>اموال و املاک</t>
  </si>
  <si>
    <t>هوش مصنوعی و فناوری‌های وابسته</t>
  </si>
  <si>
    <t xml:space="preserve">سایر </t>
  </si>
  <si>
    <t>حسن انجام کار نزد مجری</t>
  </si>
  <si>
    <t xml:space="preserve"> پیش پرداخت بر اساس قرارداد</t>
  </si>
  <si>
    <t>مبلغ باقی مانده  (بر اساس پرداخت شده)</t>
  </si>
  <si>
    <t>شرکت شتابدهی و فناوری تا ثریا</t>
  </si>
  <si>
    <t>-</t>
  </si>
  <si>
    <t>بودجه پروژه ( میلیون ریال )</t>
  </si>
  <si>
    <t>راهی شو 1403</t>
  </si>
  <si>
    <t>عنوان فعالیت اصلي</t>
  </si>
  <si>
    <t>حجم فعالیت</t>
  </si>
  <si>
    <t>مدت‌زمان (ماه)</t>
  </si>
  <si>
    <t>هزینه گام</t>
  </si>
  <si>
    <t>(میلیون‌تومان)</t>
  </si>
  <si>
    <t>درصد وزنی فعاليت</t>
  </si>
  <si>
    <t>امکان‌سنجی، ساخت نمونه آزمایشگاهی و بهینه‌سازی محصول آزمایشگاهی رزورسینول</t>
  </si>
  <si>
    <t>NF-1404-1004</t>
  </si>
  <si>
    <t>رزوراه</t>
  </si>
  <si>
    <t>معصومه بیگ محمدی</t>
  </si>
  <si>
    <t xml:space="preserve">بهاره رحمانی منشادی </t>
  </si>
  <si>
    <t xml:space="preserve"> بهاره رحمانی منشادی   -امین نوید   - مریم درودی درودزنی   -  صدرا سلحشور  - لیلی سلحشور   </t>
  </si>
  <si>
    <t>bahareh.rahmani.ut@gmail.com</t>
  </si>
  <si>
    <t>09131479433</t>
  </si>
  <si>
    <t>مطالعات مروری و طراحی اولیه</t>
  </si>
  <si>
    <t>اجرای گام‌های واکنشی تا انتهای فیوژن</t>
  </si>
  <si>
    <t>اجرای مرحله اسیدی‌سازی و استخراج</t>
  </si>
  <si>
    <t>بهینه‌سازی محصول</t>
  </si>
  <si>
    <t>تحلیل اقتصادی</t>
  </si>
  <si>
    <t>17.5</t>
  </si>
  <si>
    <t>92.5</t>
  </si>
  <si>
    <t>[Feasibility study, experimental sample production,
 and experimental product optimization of resorcinol]</t>
  </si>
  <si>
    <t>[نبود روش داخلی برای تولید رزورسینول و وابستگی کامل کشور به واردات این ماده، که منجر
 به خروج ارز و آسیب به زنجیره تأمین صنایع پایین‌دستی شده است. هدف پروژه توسعه فرآیند بومی برای تولید رزورسینول از مسیر دی‌سولفوناسیون بنزن با هزینه پایین و قابلیت تکرارپذیری است.]</t>
  </si>
  <si>
    <t>[رزورسینول ماده‌ای استراتژیک در صنایع دارویی، چسب، رنگ و پلیمر است. تولید داخلی آن موجب کاهش وابستگی، جلوگیری از خروج ارز، تأمین پایدار نیاز صنایع پایین‌دستی و ایجاد امکان صادرات خواهد شد.]</t>
  </si>
  <si>
    <t>[این پروژه با هدف طراحی و اجرای فرآیند بومی تولید رزورسینول از مسیر دی‌سولفوناسیون بنزن انجام می‌شود. رزورسینول یکی از ترکیبات کلیدی در صنایع داروسازی، رنگ، رزین و لاستیک است که تاکنون در کشور تولید نشده و کاملاً وارداتی است. در این طرح، مراحل اصلی شامل واکنش دی‌سولفوناسیون، خنثی‌سازی، فیوژن قلیایی، و خالص‌سازی نهایی بررسی و اجرا می‌شود. همچنین، مسیر جایگزین بر پایه فنول نیز در فاز مطالعاتی بررسی می‌گردد. در پایان، نمونه آزمایشگاهی با خلوص ≥۸۰٪ تولید و امکان‌سنجی فنی و اقتصادی برای توسعه صنعتی انجام خواهد شد. دستاوردهای پروژه شامل داده‌های واکنشی، گزارش بهینه‌سازی، مدل‌سازی فرایند و تحلیل اقتصادی است که زمینه طراحی پایلوت صنعتی را فراهم می‌کند.]</t>
  </si>
  <si>
    <t>اهداف و معیارهای موفقیت:</t>
  </si>
  <si>
    <t>[توسعه دانش فنی بومی تولید رزورسینول با خلوص بالا؛ ایجاد پایه‌های علمی و فنی لازم برای طراحی پایلوت صنعتی؛ کاهش وابستگی به واردات مواد شیمیایی استراتژیک.]</t>
  </si>
  <si>
    <t>[گزارش جامع مطالعات مروری و تحلیل پتنت‌ها؛ تولید نمونه آزمایشگاهی رزورسینول‌دی‌سدیم؛ تولید رزورسینول با خلوص ≥۸۰٪؛ داده‌های فرایندی شامل دما، زمان، نسبت مواد و نرخ سردسازی؛ گزارش طراحی آزمایش آماری و مدل بهینه‌سازی؛ گزارش امکان‌سنجی فنی و اقتصادی نهایی.]</t>
  </si>
  <si>
    <t>[تولید رزورسینول‌دی‌سدیم در مقیاس آزمایشگاهی با تأیید FTIR؛ دستیابی به رزورسینول با خلوص ≥۸۰٪ بر اساس HPLC و UV-Vis؛ انجام حداقل ۱۰ آزمایش بر اساس طراحی DoE؛ دستیابی به مدل آماری معتبر برای دو پارامتر کلیدی فرآیند.]</t>
  </si>
  <si>
    <t>[تأیید خلوص ≥۸۰٪ رزورسینول؛ صحت آنالیزهای FTIR، HPLC و UV-Vis؛ تأیید گزارش امکان‌سنجی فنی-اقتصادی؛ ارائه نتایج قابل تکرار و مستند برای توسعه پایلوت صنعتی.]</t>
  </si>
  <si>
    <t>کمک به زیست بوم و شبکه سازی نخبگان و تقویت بخش های نوپا</t>
  </si>
  <si>
    <t>استان تهران</t>
  </si>
  <si>
    <t>تهران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</si>
</sst>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960429]dddd\,\ d\ mmmm\ yyyy;@"/>
    <numFmt numFmtId="165" formatCode="[$-1000000]hh:mm:ss;@"/>
  </numFmts>
  <fonts count="18">
    <font>
      <sz val="11"/>
      <color theme="1"/>
      <name val="Calibri"/>
      <family val="2"/>
      <scheme val="minor"/>
    </font>
    <font>
      <sz val="11"/>
      <color theme="1"/>
      <name val="B Titr"/>
      <charset val="178"/>
    </font>
    <font>
      <b/>
      <sz val="14"/>
      <color theme="1"/>
      <name val="Vazir"/>
    </font>
    <font>
      <sz val="11"/>
      <color theme="0"/>
      <name val="B Titr"/>
      <charset val="178"/>
    </font>
    <font>
      <sz val="11"/>
      <color theme="1"/>
      <name val="Vazir"/>
    </font>
    <font>
      <sz val="11"/>
      <color theme="1"/>
      <name val="Calibri"/>
      <family val="2"/>
      <scheme val="minor"/>
    </font>
    <font>
      <b/>
      <sz val="20"/>
      <color theme="1"/>
      <name val="B Titr"/>
      <charset val="178"/>
    </font>
    <font>
      <b/>
      <sz val="14"/>
      <color theme="1"/>
      <name val="B Titr"/>
      <charset val="178"/>
    </font>
    <font>
      <sz val="11"/>
      <color theme="1"/>
      <name val="B Nazanin"/>
      <charset val="178"/>
    </font>
    <font>
      <sz val="8"/>
      <name val="Calibri"/>
      <family val="2"/>
      <scheme val="minor"/>
    </font>
    <font>
      <sz val="12"/>
      <color theme="1"/>
      <name val="B Nazanin"/>
      <charset val="178"/>
    </font>
    <font>
      <b/>
      <sz val="11"/>
      <color theme="1"/>
      <name val="Vazir"/>
    </font>
    <font>
      <b/>
      <sz val="12"/>
      <color theme="1"/>
      <name val="B Nazanin"/>
      <charset val="178"/>
    </font>
    <font>
      <b/>
      <sz val="14"/>
      <color theme="1"/>
      <name val="Times New Roman"/>
      <family val="1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808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85">
    <xf numFmtId="0" fontId="0" fillId="0" borderId="0" xfId="0"/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3" fillId="2" borderId="19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9" fontId="1" fillId="3" borderId="8" xfId="1" applyFont="1" applyFill="1" applyBorder="1" applyAlignment="1">
      <alignment horizontal="center" vertical="center"/>
    </xf>
    <xf numFmtId="3" fontId="1" fillId="3" borderId="8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164" fontId="1" fillId="3" borderId="2" xfId="0" applyNumberFormat="1" applyFont="1" applyFill="1" applyBorder="1" applyAlignment="1">
      <alignment horizontal="center" vertical="center"/>
    </xf>
    <xf numFmtId="164" fontId="1" fillId="3" borderId="4" xfId="0" applyNumberFormat="1" applyFont="1" applyFill="1" applyBorder="1" applyAlignment="1">
      <alignment vertical="center"/>
    </xf>
    <xf numFmtId="0" fontId="1" fillId="3" borderId="16" xfId="0" applyFont="1" applyFill="1" applyBorder="1" applyAlignment="1">
      <alignment vertical="center"/>
    </xf>
    <xf numFmtId="164" fontId="1" fillId="3" borderId="4" xfId="0" applyNumberFormat="1" applyFont="1" applyFill="1" applyBorder="1" applyAlignment="1">
      <alignment horizontal="center" vertical="center"/>
    </xf>
    <xf numFmtId="3" fontId="1" fillId="3" borderId="2" xfId="0" applyNumberFormat="1" applyFont="1" applyFill="1" applyBorder="1" applyAlignment="1">
      <alignment horizontal="center" vertical="center"/>
    </xf>
    <xf numFmtId="9" fontId="1" fillId="3" borderId="18" xfId="0" applyNumberFormat="1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 wrapText="1" readingOrder="2"/>
    </xf>
    <xf numFmtId="0" fontId="8" fillId="0" borderId="0" xfId="0" applyFont="1" applyAlignment="1">
      <alignment horizontal="center" readingOrder="2"/>
    </xf>
    <xf numFmtId="0" fontId="10" fillId="4" borderId="0" xfId="0" applyFont="1" applyFill="1" applyAlignment="1">
      <alignment horizontal="center"/>
    </xf>
    <xf numFmtId="0" fontId="10" fillId="4" borderId="0" xfId="0" applyFont="1" applyFill="1" applyAlignment="1">
      <alignment horizontal="center" readingOrder="2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readingOrder="2"/>
    </xf>
    <xf numFmtId="164" fontId="10" fillId="0" borderId="0" xfId="0" applyNumberFormat="1" applyFont="1" applyAlignment="1">
      <alignment horizontal="center"/>
    </xf>
    <xf numFmtId="165" fontId="10" fillId="0" borderId="0" xfId="0" applyNumberFormat="1" applyFont="1" applyAlignment="1">
      <alignment horizontal="center"/>
    </xf>
    <xf numFmtId="0" fontId="11" fillId="4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center" readingOrder="2"/>
    </xf>
    <xf numFmtId="0" fontId="11" fillId="0" borderId="0" xfId="0" applyFont="1" applyAlignment="1">
      <alignment horizontal="center"/>
    </xf>
    <xf numFmtId="0" fontId="12" fillId="4" borderId="0" xfId="0" applyFont="1" applyFill="1" applyAlignment="1">
      <alignment horizontal="center"/>
    </xf>
    <xf numFmtId="0" fontId="13" fillId="3" borderId="7" xfId="0" applyFont="1" applyFill="1" applyBorder="1" applyAlignment="1">
      <alignment horizontal="center" vertical="center"/>
    </xf>
    <xf numFmtId="0" fontId="16" fillId="0" borderId="23" xfId="0" applyFont="1" applyBorder="1" applyAlignment="1">
      <alignment horizontal="center" vertical="center" wrapText="1"/>
    </xf>
    <xf numFmtId="0" fontId="16" fillId="6" borderId="23" xfId="0" applyFont="1" applyFill="1" applyBorder="1" applyAlignment="1">
      <alignment horizontal="center" vertical="center" wrapText="1"/>
    </xf>
    <xf numFmtId="49" fontId="1" fillId="3" borderId="8" xfId="0" applyNumberFormat="1" applyFont="1" applyFill="1" applyBorder="1" applyAlignment="1">
      <alignment horizontal="center" vertical="center"/>
    </xf>
    <xf numFmtId="0" fontId="15" fillId="0" borderId="23" xfId="0" applyFont="1" applyBorder="1" applyAlignment="1">
      <alignment horizontal="center" vertical="center" wrapText="1" readingOrder="2"/>
    </xf>
    <xf numFmtId="0" fontId="16" fillId="0" borderId="27" xfId="0" applyFont="1" applyBorder="1" applyAlignment="1">
      <alignment horizontal="center" vertical="center" wrapText="1" readingOrder="2"/>
    </xf>
    <xf numFmtId="0" fontId="17" fillId="0" borderId="23" xfId="0" applyFont="1" applyBorder="1" applyAlignment="1">
      <alignment horizontal="center" vertical="center" wrapText="1" readingOrder="2"/>
    </xf>
    <xf numFmtId="0" fontId="16" fillId="0" borderId="23" xfId="0" applyFont="1" applyBorder="1" applyAlignment="1">
      <alignment horizontal="center" vertical="center" wrapText="1" readingOrder="2"/>
    </xf>
    <xf numFmtId="0" fontId="16" fillId="7" borderId="23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164" fontId="1" fillId="3" borderId="2" xfId="0" applyNumberFormat="1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right" vertical="center"/>
    </xf>
    <xf numFmtId="0" fontId="7" fillId="3" borderId="0" xfId="0" applyFont="1" applyFill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16" fillId="0" borderId="24" xfId="0" applyFont="1" applyBorder="1" applyAlignment="1">
      <alignment horizontal="center" vertical="center" wrapText="1" readingOrder="2"/>
    </xf>
    <xf numFmtId="0" fontId="16" fillId="0" borderId="30" xfId="0" applyFont="1" applyBorder="1" applyAlignment="1">
      <alignment horizontal="center" vertical="center" wrapText="1" readingOrder="2"/>
    </xf>
    <xf numFmtId="49" fontId="16" fillId="0" borderId="24" xfId="0" applyNumberFormat="1" applyFont="1" applyBorder="1" applyAlignment="1">
      <alignment horizontal="center" vertical="center" wrapText="1" readingOrder="2"/>
    </xf>
    <xf numFmtId="49" fontId="16" fillId="0" borderId="30" xfId="0" applyNumberFormat="1" applyFont="1" applyBorder="1" applyAlignment="1">
      <alignment horizontal="center" vertical="center" wrapText="1" readingOrder="2"/>
    </xf>
    <xf numFmtId="0" fontId="14" fillId="0" borderId="20" xfId="0" applyFont="1" applyBorder="1" applyAlignment="1">
      <alignment horizontal="center" vertical="center" wrapText="1" readingOrder="2"/>
    </xf>
    <xf numFmtId="0" fontId="14" fillId="0" borderId="21" xfId="0" applyFont="1" applyBorder="1" applyAlignment="1">
      <alignment horizontal="center" vertical="center" wrapText="1" readingOrder="2"/>
    </xf>
    <xf numFmtId="0" fontId="14" fillId="0" borderId="22" xfId="0" applyFont="1" applyBorder="1" applyAlignment="1">
      <alignment horizontal="center" vertical="center" wrapText="1" readingOrder="2"/>
    </xf>
    <xf numFmtId="0" fontId="14" fillId="0" borderId="23" xfId="0" applyFont="1" applyBorder="1" applyAlignment="1">
      <alignment horizontal="center" vertical="center" wrapText="1" readingOrder="2"/>
    </xf>
    <xf numFmtId="0" fontId="15" fillId="0" borderId="24" xfId="0" applyFont="1" applyBorder="1" applyAlignment="1">
      <alignment horizontal="center" vertical="center" wrapText="1" readingOrder="2"/>
    </xf>
    <xf numFmtId="0" fontId="15" fillId="0" borderId="30" xfId="0" applyFont="1" applyBorder="1" applyAlignment="1">
      <alignment horizontal="center" vertical="center" wrapText="1" readingOrder="2"/>
    </xf>
    <xf numFmtId="0" fontId="15" fillId="0" borderId="24" xfId="0" applyFont="1" applyBorder="1" applyAlignment="1">
      <alignment horizontal="center" vertical="center" wrapText="1"/>
    </xf>
    <xf numFmtId="0" fontId="15" fillId="0" borderId="30" xfId="0" applyFont="1" applyBorder="1" applyAlignment="1">
      <alignment horizontal="center" vertical="center" wrapText="1"/>
    </xf>
    <xf numFmtId="0" fontId="16" fillId="0" borderId="24" xfId="0" applyFont="1" applyBorder="1" applyAlignment="1">
      <alignment horizontal="center" vertical="center" wrapText="1"/>
    </xf>
    <xf numFmtId="0" fontId="16" fillId="0" borderId="30" xfId="0" applyFont="1" applyBorder="1" applyAlignment="1">
      <alignment horizontal="center" vertical="center" wrapText="1"/>
    </xf>
    <xf numFmtId="0" fontId="16" fillId="6" borderId="24" xfId="0" applyFont="1" applyFill="1" applyBorder="1" applyAlignment="1">
      <alignment horizontal="center" vertical="center" wrapText="1"/>
    </xf>
    <xf numFmtId="0" fontId="16" fillId="6" borderId="30" xfId="0" applyFont="1" applyFill="1" applyBorder="1" applyAlignment="1">
      <alignment horizontal="center" vertical="center" wrapText="1"/>
    </xf>
    <xf numFmtId="0" fontId="14" fillId="0" borderId="28" xfId="0" applyFont="1" applyBorder="1" applyAlignment="1">
      <alignment horizontal="center" vertical="center" wrapText="1" readingOrder="2"/>
    </xf>
    <xf numFmtId="0" fontId="14" fillId="0" borderId="29" xfId="0" applyFont="1" applyBorder="1" applyAlignment="1">
      <alignment horizontal="center" vertical="center" wrapText="1" readingOrder="2"/>
    </xf>
    <xf numFmtId="0" fontId="14" fillId="0" borderId="27" xfId="0" applyFont="1" applyBorder="1" applyAlignment="1">
      <alignment horizontal="center" vertical="center" wrapText="1" readingOrder="2"/>
    </xf>
    <xf numFmtId="0" fontId="14" fillId="0" borderId="25" xfId="0" applyFont="1" applyBorder="1" applyAlignment="1">
      <alignment horizontal="center" vertical="center" wrapText="1" readingOrder="2"/>
    </xf>
    <xf numFmtId="0" fontId="14" fillId="0" borderId="26" xfId="0" applyFont="1" applyBorder="1" applyAlignment="1">
      <alignment horizontal="center" vertical="center" wrapText="1" readingOrder="2"/>
    </xf>
    <xf numFmtId="3" fontId="1" fillId="3" borderId="4" xfId="0" applyNumberFormat="1" applyFont="1" applyFill="1" applyBorder="1" applyAlignment="1">
      <alignment horizontal="center" vertical="center"/>
    </xf>
    <xf numFmtId="3" fontId="1" fillId="3" borderId="16" xfId="0" applyNumberFormat="1" applyFont="1" applyFill="1" applyBorder="1" applyAlignment="1">
      <alignment horizontal="center" vertical="center"/>
    </xf>
    <xf numFmtId="3" fontId="1" fillId="3" borderId="6" xfId="0" applyNumberFormat="1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7">
    <dxf>
      <font>
        <strike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numFmt numFmtId="165" formatCode="[$-1000000]hh:mm:ss;@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numFmt numFmtId="166" formatCode="[$-960429]dd/mm/yyyy;@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alignment horizontal="center" vertical="bottom" textRotation="0" wrapText="0" indent="0" justifyLastLine="0" shrinkToFit="0" readingOrder="2"/>
    </dxf>
    <dxf>
      <font>
        <b/>
        <strike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008080"/>
      <color rgb="FF008000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sv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4" Type="http://schemas.openxmlformats.org/officeDocument/2006/relationships/image" Target="../media/image1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249766</xdr:colOff>
      <xdr:row>35</xdr:row>
      <xdr:rowOff>93131</xdr:rowOff>
    </xdr:from>
    <xdr:to>
      <xdr:col>2</xdr:col>
      <xdr:colOff>567267</xdr:colOff>
      <xdr:row>36</xdr:row>
      <xdr:rowOff>423331</xdr:rowOff>
    </xdr:to>
    <xdr:pic>
      <xdr:nvPicPr>
        <xdr:cNvPr id="3" name="Graphic 2" descr="Meeting">
          <a:extLst>
            <a:ext uri="{FF2B5EF4-FFF2-40B4-BE49-F238E27FC236}">
              <a16:creationId xmlns:a16="http://schemas.microsoft.com/office/drawing/2014/main" id="{FB16DD6D-5AFD-2915-639C-6078078324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546757333" y="4322231"/>
          <a:ext cx="618067" cy="618067"/>
        </a:xfrm>
        <a:prstGeom prst="rect">
          <a:avLst/>
        </a:prstGeom>
      </xdr:spPr>
    </xdr:pic>
    <xdr:clientData/>
  </xdr:twoCellAnchor>
  <xdr:twoCellAnchor editAs="oneCell">
    <xdr:from>
      <xdr:col>1</xdr:col>
      <xdr:colOff>275167</xdr:colOff>
      <xdr:row>4</xdr:row>
      <xdr:rowOff>148167</xdr:rowOff>
    </xdr:from>
    <xdr:to>
      <xdr:col>2</xdr:col>
      <xdr:colOff>461433</xdr:colOff>
      <xdr:row>6</xdr:row>
      <xdr:rowOff>38099</xdr:rowOff>
    </xdr:to>
    <xdr:pic>
      <xdr:nvPicPr>
        <xdr:cNvPr id="5" name="Graphic 4" descr="Information">
          <a:extLst>
            <a:ext uri="{FF2B5EF4-FFF2-40B4-BE49-F238E27FC236}">
              <a16:creationId xmlns:a16="http://schemas.microsoft.com/office/drawing/2014/main" id="{FF9F4195-90E3-A35C-3990-482939A3D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0546863167" y="876300"/>
          <a:ext cx="486832" cy="486832"/>
        </a:xfrm>
        <a:prstGeom prst="rect">
          <a:avLst/>
        </a:prstGeom>
      </xdr:spPr>
    </xdr:pic>
    <xdr:clientData/>
  </xdr:twoCellAnchor>
  <xdr:twoCellAnchor editAs="oneCell">
    <xdr:from>
      <xdr:col>2</xdr:col>
      <xdr:colOff>12701</xdr:colOff>
      <xdr:row>51</xdr:row>
      <xdr:rowOff>182033</xdr:rowOff>
    </xdr:from>
    <xdr:to>
      <xdr:col>2</xdr:col>
      <xdr:colOff>478368</xdr:colOff>
      <xdr:row>52</xdr:row>
      <xdr:rowOff>359832</xdr:rowOff>
    </xdr:to>
    <xdr:pic>
      <xdr:nvPicPr>
        <xdr:cNvPr id="14" name="Graphic 13" descr="Hourglass">
          <a:extLst>
            <a:ext uri="{FF2B5EF4-FFF2-40B4-BE49-F238E27FC236}">
              <a16:creationId xmlns:a16="http://schemas.microsoft.com/office/drawing/2014/main" id="{EF570D03-B977-AE41-2FAD-A0974D0040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0546846232" y="7818966"/>
          <a:ext cx="465667" cy="465667"/>
        </a:xfrm>
        <a:prstGeom prst="rect">
          <a:avLst/>
        </a:prstGeom>
      </xdr:spPr>
    </xdr:pic>
    <xdr:clientData/>
  </xdr:twoCellAnchor>
  <xdr:twoCellAnchor editAs="oneCell">
    <xdr:from>
      <xdr:col>1</xdr:col>
      <xdr:colOff>287868</xdr:colOff>
      <xdr:row>63</xdr:row>
      <xdr:rowOff>4233</xdr:rowOff>
    </xdr:from>
    <xdr:to>
      <xdr:col>2</xdr:col>
      <xdr:colOff>503768</xdr:colOff>
      <xdr:row>64</xdr:row>
      <xdr:rowOff>33865</xdr:rowOff>
    </xdr:to>
    <xdr:pic>
      <xdr:nvPicPr>
        <xdr:cNvPr id="17" name="Graphic 16" descr="Coins">
          <a:extLst>
            <a:ext uri="{FF2B5EF4-FFF2-40B4-BE49-F238E27FC236}">
              <a16:creationId xmlns:a16="http://schemas.microsoft.com/office/drawing/2014/main" id="{37D0A1D0-FC03-38D4-7748-D436C51309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0546820832" y="11700933"/>
          <a:ext cx="516466" cy="516466"/>
        </a:xfrm>
        <a:prstGeom prst="rect">
          <a:avLst/>
        </a:prstGeom>
      </xdr:spPr>
    </xdr:pic>
    <xdr:clientData/>
  </xdr:twoCellAnchor>
  <xdr:twoCellAnchor editAs="oneCell">
    <xdr:from>
      <xdr:col>1</xdr:col>
      <xdr:colOff>122767</xdr:colOff>
      <xdr:row>0</xdr:row>
      <xdr:rowOff>63501</xdr:rowOff>
    </xdr:from>
    <xdr:to>
      <xdr:col>2</xdr:col>
      <xdr:colOff>1159934</xdr:colOff>
      <xdr:row>3</xdr:row>
      <xdr:rowOff>175173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8EF283F-8D49-EC84-3CBE-FEB64E368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47002866" y="63501"/>
          <a:ext cx="1337733" cy="657772"/>
        </a:xfrm>
        <a:prstGeom prst="rect">
          <a:avLst/>
        </a:prstGeom>
      </xdr:spPr>
    </xdr:pic>
    <xdr:clientData/>
  </xdr:twoCellAnchor>
  <xdr:twoCellAnchor editAs="oneCell">
    <xdr:from>
      <xdr:col>3</xdr:col>
      <xdr:colOff>5638800</xdr:colOff>
      <xdr:row>0</xdr:row>
      <xdr:rowOff>16932</xdr:rowOff>
    </xdr:from>
    <xdr:to>
      <xdr:col>4</xdr:col>
      <xdr:colOff>224364</xdr:colOff>
      <xdr:row>4</xdr:row>
      <xdr:rowOff>12204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C2E637E-4DDF-858B-070F-3CFC5AC42F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08720636" y="16932"/>
          <a:ext cx="774697" cy="854639"/>
        </a:xfrm>
        <a:prstGeom prst="rect">
          <a:avLst/>
        </a:prstGeom>
      </xdr:spPr>
    </xdr:pic>
    <xdr:clientData/>
  </xdr:twoCellAnchor>
  <xdr:twoCellAnchor editAs="oneCell">
    <xdr:from>
      <xdr:col>2</xdr:col>
      <xdr:colOff>8466</xdr:colOff>
      <xdr:row>22</xdr:row>
      <xdr:rowOff>21167</xdr:rowOff>
    </xdr:from>
    <xdr:to>
      <xdr:col>2</xdr:col>
      <xdr:colOff>482600</xdr:colOff>
      <xdr:row>22</xdr:row>
      <xdr:rowOff>495301</xdr:rowOff>
    </xdr:to>
    <xdr:pic>
      <xdr:nvPicPr>
        <xdr:cNvPr id="15" name="Graphic 14" descr="Question mark">
          <a:extLst>
            <a:ext uri="{FF2B5EF4-FFF2-40B4-BE49-F238E27FC236}">
              <a16:creationId xmlns:a16="http://schemas.microsoft.com/office/drawing/2014/main" id="{E4981B28-6BF6-F58E-0055-6C347586C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0547591300" y="5486400"/>
          <a:ext cx="474134" cy="474134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190502</xdr:colOff>
      <xdr:row>28</xdr:row>
      <xdr:rowOff>194735</xdr:rowOff>
    </xdr:from>
    <xdr:to>
      <xdr:col>2</xdr:col>
      <xdr:colOff>444501</xdr:colOff>
      <xdr:row>29</xdr:row>
      <xdr:rowOff>546100</xdr:rowOff>
    </xdr:to>
    <xdr:pic>
      <xdr:nvPicPr>
        <xdr:cNvPr id="19" name="Graphic 18" descr="Checklist RTL">
          <a:extLst>
            <a:ext uri="{FF2B5EF4-FFF2-40B4-BE49-F238E27FC236}">
              <a16:creationId xmlns:a16="http://schemas.microsoft.com/office/drawing/2014/main" id="{C2D0C007-8E93-B7BF-7ADD-2EA121D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0547718299" y="9076268"/>
          <a:ext cx="554565" cy="55456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E61949-799A-4306-807A-A60596C05C22}" name="Table1" displayName="Table1" ref="B2:F100" totalsRowShown="0" headerRowDxfId="6" dataDxfId="5">
  <autoFilter ref="B2:F100" xr:uid="{2FE61949-799A-4306-807A-A60596C05C22}"/>
  <tableColumns count="5">
    <tableColumn id="1" xr3:uid="{B40164B3-FE52-430E-AE6A-2F0B38290AB8}" name="گام اصلی" dataDxfId="4"/>
    <tableColumn id="2" xr3:uid="{84A94E67-5F0D-4A3E-A128-4297EC9B99E6}" name="فعالیت مرتبط با گام اصلی" dataDxfId="3"/>
    <tableColumn id="3" xr3:uid="{0079BEBC-0D8B-4C1F-9263-6DBA609890C5}" name="تاریخ (سال/روز/ماه)" dataDxfId="2"/>
    <tableColumn id="4" xr3:uid="{B252E13C-DC61-48BA-8C8E-58B6D18812B8}" name="ساعت" dataDxfId="1"/>
    <tableColumn id="5" xr3:uid="{D3517E17-EA90-4E7A-9A01-DB044D13A470}" name="توضیح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ahareh.rahmani.ut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1867C-D996-4CD8-85E1-B9DF27CE9778}">
  <dimension ref="B1:E75"/>
  <sheetViews>
    <sheetView showGridLines="0" rightToLeft="1" tabSelected="1" topLeftCell="A71" zoomScaleNormal="100" workbookViewId="0">
      <selection activeCell="D61" sqref="D61"/>
    </sheetView>
  </sheetViews>
  <sheetFormatPr defaultColWidth="9" defaultRowHeight="15"/>
  <cols>
    <col min="1" max="1" width="17.42578125" style="1" customWidth="1"/>
    <col min="2" max="2" width="4.140625" style="1" customWidth="1"/>
    <col min="3" max="3" width="36.140625" style="1" bestFit="1" customWidth="1"/>
    <col min="4" max="4" width="86" style="1" customWidth="1"/>
    <col min="5" max="5" width="3.7109375" style="1" customWidth="1"/>
    <col min="6" max="16384" width="9" style="1"/>
  </cols>
  <sheetData>
    <row r="1" spans="2:5">
      <c r="B1" s="60" t="s">
        <v>0</v>
      </c>
      <c r="C1" s="60"/>
      <c r="D1" s="60"/>
      <c r="E1" s="60"/>
    </row>
    <row r="2" spans="2:5">
      <c r="B2" s="60"/>
      <c r="C2" s="60"/>
      <c r="D2" s="60"/>
      <c r="E2" s="60"/>
    </row>
    <row r="3" spans="2:5">
      <c r="B3" s="60"/>
      <c r="C3" s="60"/>
      <c r="D3" s="60"/>
      <c r="E3" s="60"/>
    </row>
    <row r="4" spans="2:5" ht="24.95" customHeight="1">
      <c r="B4" s="60"/>
      <c r="C4" s="60"/>
      <c r="D4" s="60"/>
      <c r="E4" s="60"/>
    </row>
    <row r="5" spans="2:5" ht="10.7" customHeight="1"/>
    <row r="6" spans="2:5" ht="35.450000000000003" customHeight="1" thickBot="1">
      <c r="B6" s="2"/>
      <c r="C6" s="58" t="s">
        <v>6</v>
      </c>
      <c r="D6" s="58"/>
      <c r="E6" s="2"/>
    </row>
    <row r="7" spans="2:5" ht="22.5">
      <c r="B7" s="2"/>
      <c r="C7" s="6" t="s">
        <v>1</v>
      </c>
      <c r="D7" s="47" t="s">
        <v>217</v>
      </c>
      <c r="E7" s="2"/>
    </row>
    <row r="8" spans="2:5" ht="22.5">
      <c r="B8" s="2"/>
      <c r="C8" s="7" t="s">
        <v>3</v>
      </c>
      <c r="D8" s="16" t="s">
        <v>216</v>
      </c>
      <c r="E8" s="2"/>
    </row>
    <row r="9" spans="2:5" ht="45">
      <c r="B9" s="2"/>
      <c r="C9" s="7" t="s">
        <v>4</v>
      </c>
      <c r="D9" s="56" t="s">
        <v>231</v>
      </c>
      <c r="E9" s="2"/>
    </row>
    <row r="10" spans="2:5" ht="22.5">
      <c r="B10" s="2"/>
      <c r="C10" s="7" t="s">
        <v>158</v>
      </c>
      <c r="D10" s="16" t="s">
        <v>189</v>
      </c>
      <c r="E10" s="2"/>
    </row>
    <row r="11" spans="2:5" ht="22.5">
      <c r="B11" s="2"/>
      <c r="C11" s="7" t="s">
        <v>160</v>
      </c>
      <c r="D11" s="16" t="s">
        <v>196</v>
      </c>
      <c r="E11" s="2"/>
    </row>
    <row r="12" spans="2:5" ht="22.5">
      <c r="B12" s="2"/>
      <c r="C12" s="7" t="s">
        <v>2</v>
      </c>
      <c r="D12" s="16" t="s">
        <v>218</v>
      </c>
      <c r="E12" s="2"/>
    </row>
    <row r="13" spans="2:5" ht="22.5">
      <c r="B13" s="2"/>
      <c r="C13" s="7" t="s">
        <v>152</v>
      </c>
      <c r="D13" s="16" t="s">
        <v>206</v>
      </c>
      <c r="E13" s="2"/>
    </row>
    <row r="14" spans="2:5" ht="22.5">
      <c r="B14" s="2"/>
      <c r="C14" s="7" t="s">
        <v>153</v>
      </c>
      <c r="D14" s="16" t="s">
        <v>219</v>
      </c>
      <c r="E14" s="2"/>
    </row>
    <row r="15" spans="2:5" ht="22.5">
      <c r="B15" s="2"/>
      <c r="C15" s="7" t="s">
        <v>5</v>
      </c>
      <c r="D15" s="20">
        <v>2500</v>
      </c>
      <c r="E15" s="2"/>
    </row>
    <row r="16" spans="2:5" ht="22.5">
      <c r="B16" s="2"/>
      <c r="C16" s="7" t="s">
        <v>105</v>
      </c>
      <c r="D16" s="19">
        <v>1</v>
      </c>
      <c r="E16" s="2"/>
    </row>
    <row r="17" spans="2:5" ht="22.5">
      <c r="B17" s="2"/>
      <c r="C17" s="7" t="s">
        <v>162</v>
      </c>
      <c r="D17" s="16" t="s">
        <v>209</v>
      </c>
      <c r="E17" s="2"/>
    </row>
    <row r="18" spans="2:5" ht="22.5">
      <c r="B18" s="2"/>
      <c r="C18" s="9" t="s">
        <v>14</v>
      </c>
      <c r="D18" s="17">
        <v>14</v>
      </c>
      <c r="E18" s="2"/>
    </row>
    <row r="19" spans="2:5" ht="23.25" thickBot="1">
      <c r="B19" s="2"/>
      <c r="C19" s="9" t="s">
        <v>174</v>
      </c>
      <c r="D19" s="18">
        <v>63861265</v>
      </c>
      <c r="E19" s="2"/>
    </row>
    <row r="20" spans="2:5" ht="23.25" thickBot="1">
      <c r="B20" s="2"/>
      <c r="C20" s="8" t="s">
        <v>151</v>
      </c>
      <c r="D20" s="18" t="s">
        <v>41</v>
      </c>
      <c r="E20" s="2"/>
    </row>
    <row r="21" spans="2:5" ht="15.95" customHeight="1">
      <c r="B21" s="2"/>
      <c r="C21" s="21"/>
      <c r="D21" s="21"/>
      <c r="E21" s="2"/>
    </row>
    <row r="22" spans="2:5" ht="15.95" customHeight="1">
      <c r="C22" s="22"/>
      <c r="D22" s="22"/>
    </row>
    <row r="23" spans="2:5" ht="39.75" customHeight="1" thickBot="1">
      <c r="B23" s="2"/>
      <c r="C23" s="59" t="s">
        <v>161</v>
      </c>
      <c r="D23" s="59"/>
      <c r="E23" s="2"/>
    </row>
    <row r="24" spans="2:5" ht="42.95" customHeight="1" thickBot="1">
      <c r="B24" s="2"/>
      <c r="C24" s="3" t="s">
        <v>163</v>
      </c>
      <c r="D24" s="57" t="s">
        <v>232</v>
      </c>
      <c r="E24" s="2"/>
    </row>
    <row r="25" spans="2:5" ht="45.75" thickBot="1">
      <c r="B25" s="2"/>
      <c r="C25" s="11" t="s">
        <v>164</v>
      </c>
      <c r="D25" s="57" t="s">
        <v>233</v>
      </c>
      <c r="E25" s="2"/>
    </row>
    <row r="26" spans="2:5" ht="37.700000000000003" customHeight="1" thickBot="1">
      <c r="B26" s="2"/>
      <c r="C26" s="4" t="s">
        <v>165</v>
      </c>
      <c r="D26" s="57" t="s">
        <v>240</v>
      </c>
      <c r="E26" s="2"/>
    </row>
    <row r="27" spans="2:5" ht="158.25" thickBot="1">
      <c r="B27" s="2"/>
      <c r="C27" s="5" t="s">
        <v>159</v>
      </c>
      <c r="D27" s="57" t="s">
        <v>234</v>
      </c>
      <c r="E27" s="2"/>
    </row>
    <row r="28" spans="2:5" ht="15.95" customHeight="1">
      <c r="B28" s="2"/>
      <c r="C28" s="21"/>
      <c r="D28" s="21"/>
      <c r="E28" s="2"/>
    </row>
    <row r="29" spans="2:5" ht="15.95" customHeight="1">
      <c r="C29" s="22"/>
      <c r="D29" s="22" t="s">
        <v>235</v>
      </c>
    </row>
    <row r="30" spans="2:5" ht="45" customHeight="1" thickBot="1">
      <c r="B30" s="2"/>
      <c r="C30" s="59" t="s">
        <v>170</v>
      </c>
      <c r="D30" s="59"/>
      <c r="E30" s="2"/>
    </row>
    <row r="31" spans="2:5" ht="42" customHeight="1" thickBot="1">
      <c r="B31" s="2"/>
      <c r="C31" s="3" t="s">
        <v>166</v>
      </c>
      <c r="D31" s="57" t="s">
        <v>236</v>
      </c>
      <c r="E31" s="2"/>
    </row>
    <row r="32" spans="2:5" ht="38.65" customHeight="1" thickBot="1">
      <c r="B32" s="2"/>
      <c r="C32" s="11" t="s">
        <v>167</v>
      </c>
      <c r="D32" s="57" t="s">
        <v>237</v>
      </c>
      <c r="E32" s="2"/>
    </row>
    <row r="33" spans="2:5" ht="39.75" customHeight="1" thickBot="1">
      <c r="B33" s="2"/>
      <c r="C33" s="4" t="s">
        <v>168</v>
      </c>
      <c r="D33" s="57" t="s">
        <v>238</v>
      </c>
      <c r="E33" s="2"/>
    </row>
    <row r="34" spans="2:5" ht="39.4" customHeight="1" thickBot="1">
      <c r="B34" s="2"/>
      <c r="C34" s="5" t="s">
        <v>169</v>
      </c>
      <c r="D34" s="57" t="s">
        <v>239</v>
      </c>
      <c r="E34" s="2"/>
    </row>
    <row r="35" spans="2:5" ht="15.75" customHeight="1">
      <c r="B35" s="2"/>
      <c r="C35" s="21"/>
      <c r="D35" s="21"/>
      <c r="E35" s="2"/>
    </row>
    <row r="36" spans="2:5" ht="22.5">
      <c r="C36" s="22"/>
      <c r="D36" s="22"/>
    </row>
    <row r="37" spans="2:5" ht="35.450000000000003" customHeight="1" thickBot="1">
      <c r="B37" s="2"/>
      <c r="C37" s="59" t="s">
        <v>15</v>
      </c>
      <c r="D37" s="59"/>
      <c r="E37" s="2"/>
    </row>
    <row r="38" spans="2:5" ht="22.5">
      <c r="B38" s="2"/>
      <c r="C38" s="3" t="s">
        <v>11</v>
      </c>
      <c r="D38" s="16" t="s">
        <v>218</v>
      </c>
      <c r="E38" s="2"/>
    </row>
    <row r="39" spans="2:5" ht="22.5">
      <c r="B39" s="2"/>
      <c r="C39" s="4" t="s">
        <v>157</v>
      </c>
      <c r="D39" s="16" t="s">
        <v>220</v>
      </c>
      <c r="E39" s="2"/>
    </row>
    <row r="40" spans="2:5" ht="22.5">
      <c r="B40" s="2"/>
      <c r="C40" s="4" t="s">
        <v>12</v>
      </c>
      <c r="D40" s="16" t="s">
        <v>221</v>
      </c>
      <c r="E40" s="2"/>
    </row>
    <row r="41" spans="2:5" ht="22.5">
      <c r="B41" s="2"/>
      <c r="C41" s="4" t="s">
        <v>8</v>
      </c>
      <c r="D41" s="16">
        <v>5</v>
      </c>
      <c r="E41" s="2"/>
    </row>
    <row r="42" spans="2:5" ht="22.5">
      <c r="B42" s="2"/>
      <c r="C42" s="4" t="s">
        <v>9</v>
      </c>
      <c r="D42" s="16" t="s">
        <v>221</v>
      </c>
      <c r="E42" s="2"/>
    </row>
    <row r="43" spans="2:5" ht="22.5">
      <c r="B43" s="2"/>
      <c r="C43" s="4" t="s">
        <v>30</v>
      </c>
      <c r="D43" s="30" t="s">
        <v>220</v>
      </c>
      <c r="E43" s="2"/>
    </row>
    <row r="44" spans="2:5" ht="22.5">
      <c r="B44" s="2"/>
      <c r="C44" s="4" t="s">
        <v>10</v>
      </c>
      <c r="D44" s="30" t="s">
        <v>241</v>
      </c>
      <c r="E44" s="2"/>
    </row>
    <row r="45" spans="2:5" ht="22.5">
      <c r="B45" s="2"/>
      <c r="C45" s="4" t="s">
        <v>13</v>
      </c>
      <c r="D45" s="30" t="s">
        <v>242</v>
      </c>
      <c r="E45" s="2"/>
    </row>
    <row r="46" spans="2:5" ht="22.5">
      <c r="B46" s="2"/>
      <c r="C46" s="10" t="s">
        <v>7</v>
      </c>
      <c r="D46" s="25"/>
      <c r="E46" s="2"/>
    </row>
    <row r="47" spans="2:5" ht="22.5">
      <c r="B47" s="2"/>
      <c r="C47" s="10" t="s">
        <v>23</v>
      </c>
      <c r="D47" s="50" t="s">
        <v>223</v>
      </c>
      <c r="E47" s="2"/>
    </row>
    <row r="48" spans="2:5" ht="22.5">
      <c r="B48" s="2"/>
      <c r="C48" s="10" t="s">
        <v>24</v>
      </c>
      <c r="D48" s="16"/>
      <c r="E48" s="2"/>
    </row>
    <row r="49" spans="2:5" ht="22.5">
      <c r="B49" s="2"/>
      <c r="C49" s="10" t="s">
        <v>25</v>
      </c>
      <c r="D49" s="16"/>
      <c r="E49" s="2"/>
    </row>
    <row r="50" spans="2:5" ht="23.25" thickBot="1">
      <c r="B50" s="2"/>
      <c r="C50" s="5" t="s">
        <v>22</v>
      </c>
      <c r="D50" s="50" t="s">
        <v>222</v>
      </c>
      <c r="E50" s="2"/>
    </row>
    <row r="51" spans="2:5" ht="22.5">
      <c r="B51" s="2"/>
      <c r="C51" s="21"/>
      <c r="D51" s="21"/>
      <c r="E51" s="2"/>
    </row>
    <row r="52" spans="2:5" ht="22.5">
      <c r="C52" s="22"/>
      <c r="D52" s="22"/>
    </row>
    <row r="53" spans="2:5" ht="35.450000000000003" customHeight="1" thickBot="1">
      <c r="B53" s="2"/>
      <c r="C53" s="16" t="s">
        <v>16</v>
      </c>
      <c r="D53" s="16"/>
      <c r="E53" s="2"/>
    </row>
    <row r="54" spans="2:5" ht="22.5">
      <c r="B54" s="2"/>
      <c r="C54" s="15" t="s">
        <v>146</v>
      </c>
      <c r="D54" s="23">
        <v>45879</v>
      </c>
      <c r="E54" s="2"/>
    </row>
    <row r="55" spans="2:5" ht="22.5">
      <c r="B55" s="2"/>
      <c r="C55" s="4" t="s">
        <v>17</v>
      </c>
      <c r="D55" s="26">
        <v>45861</v>
      </c>
      <c r="E55" s="2"/>
    </row>
    <row r="56" spans="2:5" ht="22.5">
      <c r="B56" s="2"/>
      <c r="C56" s="4" t="s">
        <v>18</v>
      </c>
      <c r="D56" s="26">
        <v>46288</v>
      </c>
      <c r="E56" s="2"/>
    </row>
    <row r="57" spans="2:5" ht="22.5">
      <c r="B57" s="2"/>
      <c r="C57" s="4" t="s">
        <v>171</v>
      </c>
      <c r="D57" s="24" t="s">
        <v>207</v>
      </c>
      <c r="E57" s="2"/>
    </row>
    <row r="58" spans="2:5" ht="22.5">
      <c r="B58" s="2"/>
      <c r="C58" s="4" t="s">
        <v>19</v>
      </c>
      <c r="D58" s="26">
        <f>D55</f>
        <v>45861</v>
      </c>
      <c r="E58" s="2"/>
    </row>
    <row r="59" spans="2:5" ht="22.5">
      <c r="B59" s="2"/>
      <c r="C59" s="4" t="s">
        <v>20</v>
      </c>
      <c r="D59" s="26"/>
      <c r="E59" s="2"/>
    </row>
    <row r="60" spans="2:5" ht="22.5">
      <c r="B60" s="2"/>
      <c r="C60" s="4" t="s">
        <v>21</v>
      </c>
      <c r="D60" s="16" t="str">
        <f>D20</f>
        <v>نظارت و راهبری</v>
      </c>
      <c r="E60" s="2"/>
    </row>
    <row r="61" spans="2:5" ht="23.25" thickBot="1">
      <c r="B61" s="2"/>
      <c r="C61" s="5" t="s">
        <v>173</v>
      </c>
      <c r="D61" s="31">
        <v>28</v>
      </c>
      <c r="E61" s="2"/>
    </row>
    <row r="62" spans="2:5" ht="22.5">
      <c r="B62" s="2"/>
      <c r="C62" s="21"/>
      <c r="D62" s="21"/>
      <c r="E62" s="2"/>
    </row>
    <row r="63" spans="2:5" ht="22.5">
      <c r="C63" s="22"/>
      <c r="D63" s="22"/>
    </row>
    <row r="64" spans="2:5" ht="38.450000000000003" customHeight="1" thickBot="1">
      <c r="B64" s="2"/>
      <c r="C64" s="59" t="s">
        <v>26</v>
      </c>
      <c r="D64" s="59"/>
      <c r="E64" s="2"/>
    </row>
    <row r="65" spans="2:5" ht="22.5">
      <c r="B65" s="2"/>
      <c r="C65" s="3" t="s">
        <v>208</v>
      </c>
      <c r="D65" s="27">
        <f>D15</f>
        <v>2500</v>
      </c>
      <c r="E65" s="2"/>
    </row>
    <row r="66" spans="2:5" ht="22.5">
      <c r="B66" s="2"/>
      <c r="C66" s="11" t="s">
        <v>31</v>
      </c>
      <c r="D66" s="28">
        <f>D16</f>
        <v>1</v>
      </c>
      <c r="E66" s="2"/>
    </row>
    <row r="67" spans="2:5" ht="22.5">
      <c r="B67" s="2"/>
      <c r="C67" s="11" t="s">
        <v>32</v>
      </c>
      <c r="D67" s="29" t="s">
        <v>207</v>
      </c>
      <c r="E67" s="2"/>
    </row>
    <row r="68" spans="2:5" ht="22.5">
      <c r="B68" s="2"/>
      <c r="C68" s="11" t="s">
        <v>33</v>
      </c>
      <c r="D68" s="29">
        <v>0</v>
      </c>
      <c r="E68" s="2"/>
    </row>
    <row r="69" spans="2:5" ht="22.5">
      <c r="B69" s="2"/>
      <c r="C69" s="11" t="s">
        <v>204</v>
      </c>
      <c r="D69" s="29">
        <v>0</v>
      </c>
      <c r="E69" s="2"/>
    </row>
    <row r="70" spans="2:5" ht="22.5">
      <c r="B70" s="2"/>
      <c r="C70" s="4" t="s">
        <v>27</v>
      </c>
      <c r="D70" s="82">
        <v>630000000</v>
      </c>
      <c r="E70" s="2"/>
    </row>
    <row r="71" spans="2:5" ht="22.5">
      <c r="B71" s="2"/>
      <c r="C71" s="4" t="s">
        <v>28</v>
      </c>
      <c r="D71" s="82">
        <v>630000000</v>
      </c>
      <c r="E71" s="2"/>
    </row>
    <row r="72" spans="2:5" ht="22.5">
      <c r="B72" s="2"/>
      <c r="C72" s="4" t="s">
        <v>29</v>
      </c>
      <c r="D72" s="82">
        <v>0</v>
      </c>
      <c r="E72" s="2"/>
    </row>
    <row r="73" spans="2:5" ht="22.5">
      <c r="B73" s="2"/>
      <c r="C73" s="4" t="s">
        <v>203</v>
      </c>
      <c r="D73" s="83">
        <v>250000000</v>
      </c>
      <c r="E73" s="2"/>
    </row>
    <row r="74" spans="2:5" ht="23.25" thickBot="1">
      <c r="B74" s="2"/>
      <c r="C74" s="4" t="s">
        <v>205</v>
      </c>
      <c r="D74" s="84">
        <f>2500000000-D71</f>
        <v>1870000000</v>
      </c>
      <c r="E74" s="2"/>
    </row>
    <row r="75" spans="2:5">
      <c r="B75" s="2"/>
      <c r="C75" s="2"/>
      <c r="D75" s="2"/>
      <c r="E75" s="2"/>
    </row>
  </sheetData>
  <mergeCells count="6">
    <mergeCell ref="C6:D6"/>
    <mergeCell ref="C37:D37"/>
    <mergeCell ref="C64:D64"/>
    <mergeCell ref="B1:E4"/>
    <mergeCell ref="C23:D23"/>
    <mergeCell ref="C30:D30"/>
  </mergeCells>
  <dataValidations count="1">
    <dataValidation type="list" allowBlank="1" showInputMessage="1" showErrorMessage="1" sqref="D20" xr:uid="{8A256638-8D61-4BAC-8D71-47BFD488D964}">
      <formula1>گام_اصلی</formula1>
    </dataValidation>
  </dataValidations>
  <hyperlinks>
    <hyperlink ref="D50" r:id="rId1" display="mailto:bahareh.rahmani.ut@gmail.com" xr:uid="{26A9F844-4494-4032-99A6-C1AB2FE4503B}"/>
  </hyperlinks>
  <pageMargins left="0.7" right="0.7" top="0.75" bottom="0.75" header="0.3" footer="0.3"/>
  <pageSetup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5FBD2E7-7F74-4F11-A365-4541F21ED93A}">
          <x14:formula1>
            <xm:f>Statuses!$M$2:$M$9</xm:f>
          </x14:formula1>
          <xm:sqref>D10</xm:sqref>
        </x14:dataValidation>
        <x14:dataValidation type="list" allowBlank="1" showInputMessage="1" showErrorMessage="1" xr:uid="{0A64AE7C-B25C-45AB-A88C-B0D98CE6C0DF}">
          <x14:formula1>
            <xm:f>Statuses!$N$2:$N$14</xm:f>
          </x14:formula1>
          <xm:sqref>D11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9F42B-A20D-4117-B56C-64596C0E5420}">
  <dimension ref="A1:V8"/>
  <sheetViews>
    <sheetView rightToLeft="1" zoomScale="85" zoomScaleNormal="85" workbookViewId="0">
      <selection activeCell="N6" sqref="N6"/>
    </sheetView>
  </sheetViews>
  <sheetFormatPr defaultColWidth="9" defaultRowHeight="15"/>
  <cols>
    <col min="1" max="16384" width="9" style="12"/>
  </cols>
  <sheetData>
    <row r="1" spans="1:22">
      <c r="A1" s="77" t="s">
        <v>181</v>
      </c>
      <c r="B1" s="77" t="s">
        <v>210</v>
      </c>
      <c r="C1" s="77" t="s">
        <v>211</v>
      </c>
      <c r="D1" s="65" t="s">
        <v>212</v>
      </c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66"/>
      <c r="S1" s="65" t="s">
        <v>213</v>
      </c>
      <c r="T1" s="66"/>
      <c r="U1" s="65" t="s">
        <v>215</v>
      </c>
      <c r="V1" s="66"/>
    </row>
    <row r="2" spans="1:22" ht="15.75" thickBot="1">
      <c r="A2" s="78"/>
      <c r="B2" s="78"/>
      <c r="C2" s="78"/>
      <c r="D2" s="67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68"/>
      <c r="S2" s="67" t="s">
        <v>214</v>
      </c>
      <c r="T2" s="68"/>
      <c r="U2" s="67"/>
      <c r="V2" s="68"/>
    </row>
    <row r="3" spans="1:22" ht="18.75" thickBot="1">
      <c r="A3" s="79"/>
      <c r="B3" s="79"/>
      <c r="C3" s="79"/>
      <c r="D3" s="69">
        <v>1</v>
      </c>
      <c r="E3" s="70"/>
      <c r="F3" s="51">
        <v>2</v>
      </c>
      <c r="G3" s="51">
        <v>3</v>
      </c>
      <c r="H3" s="51">
        <v>4</v>
      </c>
      <c r="I3" s="51">
        <v>5</v>
      </c>
      <c r="J3" s="51">
        <v>6</v>
      </c>
      <c r="K3" s="51">
        <v>7</v>
      </c>
      <c r="L3" s="51">
        <v>8</v>
      </c>
      <c r="M3" s="51">
        <v>9</v>
      </c>
      <c r="N3" s="51">
        <v>10</v>
      </c>
      <c r="O3" s="51">
        <v>11</v>
      </c>
      <c r="P3" s="51">
        <v>12</v>
      </c>
      <c r="Q3" s="51">
        <v>13</v>
      </c>
      <c r="R3" s="51">
        <v>14</v>
      </c>
      <c r="S3" s="71"/>
      <c r="T3" s="72"/>
      <c r="U3" s="71"/>
      <c r="V3" s="72"/>
    </row>
    <row r="4" spans="1:22" ht="60.75" thickBot="1">
      <c r="A4" s="52">
        <v>1</v>
      </c>
      <c r="B4" s="53" t="s">
        <v>224</v>
      </c>
      <c r="C4" s="54">
        <v>200</v>
      </c>
      <c r="D4" s="75"/>
      <c r="E4" s="76"/>
      <c r="F4" s="49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63" t="s">
        <v>229</v>
      </c>
      <c r="T4" s="64"/>
      <c r="U4" s="61">
        <v>7</v>
      </c>
      <c r="V4" s="62"/>
    </row>
    <row r="5" spans="1:22" ht="75.75" thickBot="1">
      <c r="A5" s="52">
        <v>2</v>
      </c>
      <c r="B5" s="53" t="s">
        <v>225</v>
      </c>
      <c r="C5" s="54">
        <v>1000</v>
      </c>
      <c r="D5" s="73"/>
      <c r="E5" s="74"/>
      <c r="F5" s="49"/>
      <c r="G5" s="49"/>
      <c r="H5" s="49"/>
      <c r="I5" s="49"/>
      <c r="J5" s="49"/>
      <c r="K5" s="48"/>
      <c r="L5" s="48"/>
      <c r="M5" s="48"/>
      <c r="N5" s="48"/>
      <c r="O5" s="48"/>
      <c r="P5" s="48"/>
      <c r="Q5" s="48"/>
      <c r="R5" s="48"/>
      <c r="S5" s="63" t="s">
        <v>230</v>
      </c>
      <c r="T5" s="64"/>
      <c r="U5" s="61">
        <v>37</v>
      </c>
      <c r="V5" s="62"/>
    </row>
    <row r="6" spans="1:22" ht="75.75" thickBot="1">
      <c r="A6" s="52">
        <v>3</v>
      </c>
      <c r="B6" s="53" t="s">
        <v>226</v>
      </c>
      <c r="C6" s="54">
        <v>500</v>
      </c>
      <c r="D6" s="73"/>
      <c r="E6" s="74"/>
      <c r="F6" s="48"/>
      <c r="G6" s="48"/>
      <c r="H6" s="48"/>
      <c r="I6" s="55"/>
      <c r="J6" s="49"/>
      <c r="K6" s="49"/>
      <c r="L6" s="48"/>
      <c r="M6" s="48"/>
      <c r="N6" s="48"/>
      <c r="O6" s="48"/>
      <c r="P6" s="48"/>
      <c r="Q6" s="48"/>
      <c r="R6" s="48"/>
      <c r="S6" s="61">
        <v>20</v>
      </c>
      <c r="T6" s="62"/>
      <c r="U6" s="61">
        <v>8</v>
      </c>
      <c r="V6" s="62"/>
    </row>
    <row r="7" spans="1:22" ht="45.75" thickBot="1">
      <c r="A7" s="52">
        <v>4</v>
      </c>
      <c r="B7" s="53" t="s">
        <v>227</v>
      </c>
      <c r="C7" s="54">
        <v>2500</v>
      </c>
      <c r="D7" s="73"/>
      <c r="E7" s="74"/>
      <c r="F7" s="48"/>
      <c r="G7" s="48"/>
      <c r="H7" s="48"/>
      <c r="I7" s="48"/>
      <c r="J7" s="55"/>
      <c r="K7" s="49"/>
      <c r="L7" s="49"/>
      <c r="M7" s="49"/>
      <c r="N7" s="49"/>
      <c r="O7" s="49"/>
      <c r="P7" s="49"/>
      <c r="Q7" s="49"/>
      <c r="R7" s="49"/>
      <c r="S7" s="61">
        <v>80</v>
      </c>
      <c r="T7" s="62"/>
      <c r="U7" s="61">
        <v>32</v>
      </c>
      <c r="V7" s="62"/>
    </row>
    <row r="8" spans="1:22" ht="30.75" thickBot="1">
      <c r="A8" s="52">
        <v>5</v>
      </c>
      <c r="B8" s="53" t="s">
        <v>228</v>
      </c>
      <c r="C8" s="54">
        <v>400</v>
      </c>
      <c r="D8" s="73"/>
      <c r="E8" s="74"/>
      <c r="F8" s="48"/>
      <c r="G8" s="48"/>
      <c r="H8" s="48"/>
      <c r="I8" s="49"/>
      <c r="J8" s="49"/>
      <c r="K8" s="49"/>
      <c r="L8" s="49"/>
      <c r="M8" s="49"/>
      <c r="N8" s="55"/>
      <c r="O8" s="55"/>
      <c r="P8" s="55"/>
      <c r="Q8" s="55"/>
      <c r="R8" s="55"/>
      <c r="S8" s="61">
        <v>40</v>
      </c>
      <c r="T8" s="62"/>
      <c r="U8" s="61">
        <v>16</v>
      </c>
      <c r="V8" s="62"/>
    </row>
  </sheetData>
  <mergeCells count="25">
    <mergeCell ref="A1:A3"/>
    <mergeCell ref="C1:C3"/>
    <mergeCell ref="B1:B3"/>
    <mergeCell ref="D1:R2"/>
    <mergeCell ref="S1:T1"/>
    <mergeCell ref="S2:T2"/>
    <mergeCell ref="D7:E7"/>
    <mergeCell ref="D8:E8"/>
    <mergeCell ref="D5:E5"/>
    <mergeCell ref="D6:E6"/>
    <mergeCell ref="D4:E4"/>
    <mergeCell ref="U1:V2"/>
    <mergeCell ref="D3:E3"/>
    <mergeCell ref="S3:T3"/>
    <mergeCell ref="U3:V3"/>
    <mergeCell ref="S4:T4"/>
    <mergeCell ref="U4:V4"/>
    <mergeCell ref="S8:T8"/>
    <mergeCell ref="U8:V8"/>
    <mergeCell ref="S5:T5"/>
    <mergeCell ref="U5:V5"/>
    <mergeCell ref="S6:T6"/>
    <mergeCell ref="U6:V6"/>
    <mergeCell ref="S7:T7"/>
    <mergeCell ref="U7:V7"/>
  </mergeCells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37190-4B41-4FCA-B229-7EBDD3CC83CC}">
  <dimension ref="A1:G100"/>
  <sheetViews>
    <sheetView rightToLeft="1" workbookViewId="0">
      <selection activeCell="C3" sqref="C3"/>
    </sheetView>
  </sheetViews>
  <sheetFormatPr defaultColWidth="9" defaultRowHeight="21"/>
  <cols>
    <col min="1" max="1" width="2.85546875" style="13" customWidth="1"/>
    <col min="2" max="2" width="18.85546875" style="43" customWidth="1"/>
    <col min="3" max="3" width="102.140625" style="39" bestFit="1" customWidth="1"/>
    <col min="4" max="4" width="22" style="38" customWidth="1"/>
    <col min="5" max="5" width="14.7109375" style="38" customWidth="1"/>
    <col min="6" max="6" width="36.7109375" style="38" customWidth="1"/>
    <col min="7" max="7" width="3" style="13" customWidth="1"/>
    <col min="8" max="16384" width="9" style="14"/>
  </cols>
  <sheetData>
    <row r="1" spans="1:7">
      <c r="B1" s="46"/>
      <c r="C1" s="37"/>
      <c r="D1" s="36"/>
      <c r="E1" s="36"/>
      <c r="F1" s="36"/>
    </row>
    <row r="2" spans="1:7" s="45" customFormat="1">
      <c r="A2" s="42"/>
      <c r="B2" s="43" t="s">
        <v>34</v>
      </c>
      <c r="C2" s="44" t="s">
        <v>150</v>
      </c>
      <c r="D2" s="43" t="s">
        <v>149</v>
      </c>
      <c r="E2" s="43" t="s">
        <v>145</v>
      </c>
      <c r="F2" s="43" t="s">
        <v>35</v>
      </c>
      <c r="G2" s="42"/>
    </row>
    <row r="3" spans="1:7">
      <c r="B3" s="43" t="s">
        <v>36</v>
      </c>
      <c r="C3" s="39" t="s">
        <v>45</v>
      </c>
      <c r="D3" s="40">
        <v>45901</v>
      </c>
      <c r="E3" s="41">
        <v>0.41666666666666669</v>
      </c>
    </row>
    <row r="4" spans="1:7">
      <c r="B4" s="43" t="s">
        <v>36</v>
      </c>
      <c r="C4" s="39" t="s">
        <v>44</v>
      </c>
      <c r="D4" s="40">
        <v>45903</v>
      </c>
      <c r="E4" s="41">
        <v>0.5</v>
      </c>
    </row>
    <row r="5" spans="1:7">
      <c r="B5" s="43" t="s">
        <v>37</v>
      </c>
      <c r="C5" s="39" t="s">
        <v>46</v>
      </c>
      <c r="D5" s="40">
        <v>45906</v>
      </c>
      <c r="E5" s="41">
        <v>0.33333333333333331</v>
      </c>
    </row>
    <row r="6" spans="1:7">
      <c r="B6" s="43" t="s">
        <v>37</v>
      </c>
      <c r="C6" s="39" t="s">
        <v>47</v>
      </c>
      <c r="D6" s="40">
        <v>45906</v>
      </c>
      <c r="E6" s="41">
        <v>0.66666666666666663</v>
      </c>
    </row>
    <row r="7" spans="1:7">
      <c r="B7" s="43" t="s">
        <v>37</v>
      </c>
      <c r="C7" s="39" t="s">
        <v>54</v>
      </c>
      <c r="D7" s="40">
        <v>45906</v>
      </c>
      <c r="E7" s="41">
        <v>0.66666666666666663</v>
      </c>
    </row>
    <row r="8" spans="1:7">
      <c r="B8" s="43" t="s">
        <v>38</v>
      </c>
      <c r="C8" s="39" t="s">
        <v>75</v>
      </c>
      <c r="D8" s="40">
        <v>45907</v>
      </c>
      <c r="E8" s="41">
        <v>0.33333333333333331</v>
      </c>
    </row>
    <row r="9" spans="1:7">
      <c r="B9" s="43" t="s">
        <v>40</v>
      </c>
      <c r="C9" s="39" t="s">
        <v>89</v>
      </c>
      <c r="D9" s="40"/>
      <c r="E9" s="41"/>
    </row>
    <row r="10" spans="1:7">
      <c r="B10" s="43" t="s">
        <v>40</v>
      </c>
      <c r="C10" s="39" t="s">
        <v>91</v>
      </c>
      <c r="D10" s="40"/>
      <c r="E10" s="41"/>
    </row>
    <row r="11" spans="1:7">
      <c r="B11" s="43" t="s">
        <v>40</v>
      </c>
      <c r="C11" s="39" t="s">
        <v>80</v>
      </c>
      <c r="D11" s="40"/>
      <c r="E11" s="41"/>
    </row>
    <row r="12" spans="1:7">
      <c r="B12" s="43" t="s">
        <v>40</v>
      </c>
      <c r="C12" s="39" t="s">
        <v>82</v>
      </c>
      <c r="D12" s="40"/>
      <c r="E12" s="41"/>
    </row>
    <row r="13" spans="1:7">
      <c r="B13" s="43" t="s">
        <v>36</v>
      </c>
      <c r="C13" s="39" t="s">
        <v>44</v>
      </c>
      <c r="D13" s="40"/>
      <c r="E13" s="41"/>
    </row>
    <row r="14" spans="1:7">
      <c r="B14" s="43" t="s">
        <v>37</v>
      </c>
      <c r="C14" s="39" t="s">
        <v>46</v>
      </c>
      <c r="D14" s="40"/>
      <c r="E14" s="41"/>
    </row>
    <row r="15" spans="1:7">
      <c r="B15" s="43" t="s">
        <v>37</v>
      </c>
      <c r="C15" s="39" t="s">
        <v>129</v>
      </c>
      <c r="D15" s="40"/>
      <c r="E15" s="41"/>
    </row>
    <row r="16" spans="1:7">
      <c r="B16" s="43" t="s">
        <v>37</v>
      </c>
      <c r="D16" s="40"/>
      <c r="E16" s="41"/>
    </row>
    <row r="17" spans="4:5">
      <c r="D17" s="40"/>
      <c r="E17" s="41"/>
    </row>
    <row r="18" spans="4:5">
      <c r="D18" s="40"/>
      <c r="E18" s="41"/>
    </row>
    <row r="19" spans="4:5">
      <c r="D19" s="40"/>
      <c r="E19" s="41"/>
    </row>
    <row r="20" spans="4:5">
      <c r="D20" s="40"/>
      <c r="E20" s="41"/>
    </row>
    <row r="21" spans="4:5">
      <c r="D21" s="40"/>
      <c r="E21" s="41"/>
    </row>
    <row r="22" spans="4:5">
      <c r="D22" s="40"/>
      <c r="E22" s="41"/>
    </row>
    <row r="23" spans="4:5">
      <c r="D23" s="40"/>
      <c r="E23" s="41"/>
    </row>
    <row r="24" spans="4:5">
      <c r="D24" s="40"/>
      <c r="E24" s="41"/>
    </row>
    <row r="25" spans="4:5">
      <c r="D25" s="40"/>
      <c r="E25" s="41"/>
    </row>
    <row r="26" spans="4:5">
      <c r="D26" s="40"/>
      <c r="E26" s="41"/>
    </row>
    <row r="27" spans="4:5">
      <c r="D27" s="40"/>
      <c r="E27" s="41"/>
    </row>
    <row r="28" spans="4:5">
      <c r="D28" s="40"/>
      <c r="E28" s="41"/>
    </row>
    <row r="29" spans="4:5">
      <c r="D29" s="40"/>
      <c r="E29" s="41"/>
    </row>
    <row r="30" spans="4:5">
      <c r="D30" s="40"/>
      <c r="E30" s="41"/>
    </row>
    <row r="31" spans="4:5">
      <c r="D31" s="40"/>
      <c r="E31" s="41"/>
    </row>
    <row r="32" spans="4:5">
      <c r="D32" s="40"/>
      <c r="E32" s="41"/>
    </row>
    <row r="33" spans="4:5">
      <c r="D33" s="40"/>
      <c r="E33" s="41"/>
    </row>
    <row r="34" spans="4:5">
      <c r="D34" s="40"/>
      <c r="E34" s="41"/>
    </row>
    <row r="35" spans="4:5">
      <c r="D35" s="40"/>
      <c r="E35" s="41"/>
    </row>
    <row r="36" spans="4:5">
      <c r="D36" s="40"/>
      <c r="E36" s="41"/>
    </row>
    <row r="37" spans="4:5">
      <c r="D37" s="40"/>
      <c r="E37" s="41"/>
    </row>
    <row r="38" spans="4:5">
      <c r="D38" s="40"/>
      <c r="E38" s="41"/>
    </row>
    <row r="39" spans="4:5">
      <c r="D39" s="40"/>
      <c r="E39" s="41"/>
    </row>
    <row r="40" spans="4:5">
      <c r="D40" s="40"/>
      <c r="E40" s="41"/>
    </row>
    <row r="41" spans="4:5">
      <c r="D41" s="40"/>
      <c r="E41" s="41"/>
    </row>
    <row r="42" spans="4:5">
      <c r="D42" s="40"/>
      <c r="E42" s="41"/>
    </row>
    <row r="43" spans="4:5">
      <c r="D43" s="40"/>
      <c r="E43" s="41"/>
    </row>
    <row r="44" spans="4:5">
      <c r="D44" s="40"/>
      <c r="E44" s="41"/>
    </row>
    <row r="45" spans="4:5">
      <c r="D45" s="40"/>
      <c r="E45" s="41"/>
    </row>
    <row r="46" spans="4:5">
      <c r="D46" s="40"/>
      <c r="E46" s="41"/>
    </row>
    <row r="47" spans="4:5">
      <c r="D47" s="40"/>
      <c r="E47" s="41"/>
    </row>
    <row r="48" spans="4:5">
      <c r="D48" s="40"/>
      <c r="E48" s="41"/>
    </row>
    <row r="49" spans="4:5">
      <c r="D49" s="40"/>
      <c r="E49" s="41"/>
    </row>
    <row r="50" spans="4:5">
      <c r="D50" s="40"/>
      <c r="E50" s="41"/>
    </row>
    <row r="51" spans="4:5">
      <c r="D51" s="40"/>
      <c r="E51" s="41"/>
    </row>
    <row r="52" spans="4:5">
      <c r="D52" s="40"/>
      <c r="E52" s="41"/>
    </row>
    <row r="53" spans="4:5">
      <c r="D53" s="40"/>
      <c r="E53" s="41"/>
    </row>
    <row r="54" spans="4:5">
      <c r="D54" s="40"/>
      <c r="E54" s="41"/>
    </row>
    <row r="55" spans="4:5">
      <c r="D55" s="40"/>
      <c r="E55" s="41"/>
    </row>
    <row r="56" spans="4:5">
      <c r="D56" s="40"/>
      <c r="E56" s="41"/>
    </row>
    <row r="57" spans="4:5">
      <c r="D57" s="40"/>
      <c r="E57" s="41"/>
    </row>
    <row r="58" spans="4:5">
      <c r="D58" s="40"/>
      <c r="E58" s="41"/>
    </row>
    <row r="59" spans="4:5">
      <c r="D59" s="40"/>
      <c r="E59" s="41"/>
    </row>
    <row r="60" spans="4:5">
      <c r="D60" s="40"/>
      <c r="E60" s="41"/>
    </row>
    <row r="61" spans="4:5">
      <c r="D61" s="40"/>
      <c r="E61" s="41"/>
    </row>
    <row r="62" spans="4:5">
      <c r="D62" s="40"/>
      <c r="E62" s="41"/>
    </row>
    <row r="63" spans="4:5">
      <c r="D63" s="40"/>
      <c r="E63" s="41"/>
    </row>
    <row r="64" spans="4:5">
      <c r="D64" s="40"/>
      <c r="E64" s="41"/>
    </row>
    <row r="65" spans="4:5">
      <c r="D65" s="40"/>
      <c r="E65" s="41"/>
    </row>
    <row r="66" spans="4:5">
      <c r="D66" s="40"/>
      <c r="E66" s="41"/>
    </row>
    <row r="67" spans="4:5">
      <c r="D67" s="40"/>
      <c r="E67" s="41"/>
    </row>
    <row r="68" spans="4:5">
      <c r="D68" s="40"/>
      <c r="E68" s="41"/>
    </row>
    <row r="69" spans="4:5">
      <c r="D69" s="40"/>
      <c r="E69" s="41"/>
    </row>
    <row r="70" spans="4:5">
      <c r="D70" s="40"/>
      <c r="E70" s="41"/>
    </row>
    <row r="71" spans="4:5">
      <c r="D71" s="40"/>
      <c r="E71" s="41"/>
    </row>
    <row r="72" spans="4:5">
      <c r="D72" s="40"/>
      <c r="E72" s="41"/>
    </row>
    <row r="73" spans="4:5">
      <c r="D73" s="40"/>
      <c r="E73" s="41"/>
    </row>
    <row r="74" spans="4:5">
      <c r="D74" s="40"/>
      <c r="E74" s="41"/>
    </row>
    <row r="75" spans="4:5">
      <c r="D75" s="40"/>
      <c r="E75" s="41"/>
    </row>
    <row r="76" spans="4:5">
      <c r="D76" s="40"/>
      <c r="E76" s="41"/>
    </row>
    <row r="77" spans="4:5">
      <c r="D77" s="40"/>
      <c r="E77" s="41"/>
    </row>
    <row r="78" spans="4:5">
      <c r="D78" s="40"/>
      <c r="E78" s="41"/>
    </row>
    <row r="79" spans="4:5">
      <c r="D79" s="40"/>
      <c r="E79" s="41"/>
    </row>
    <row r="80" spans="4:5">
      <c r="D80" s="40"/>
      <c r="E80" s="41"/>
    </row>
    <row r="81" spans="4:5">
      <c r="D81" s="40"/>
      <c r="E81" s="41"/>
    </row>
    <row r="82" spans="4:5">
      <c r="D82" s="40"/>
      <c r="E82" s="41"/>
    </row>
    <row r="83" spans="4:5">
      <c r="D83" s="40"/>
      <c r="E83" s="41"/>
    </row>
    <row r="84" spans="4:5">
      <c r="D84" s="40"/>
      <c r="E84" s="41"/>
    </row>
    <row r="85" spans="4:5">
      <c r="D85" s="40"/>
      <c r="E85" s="41"/>
    </row>
    <row r="86" spans="4:5">
      <c r="D86" s="40"/>
      <c r="E86" s="41"/>
    </row>
    <row r="87" spans="4:5">
      <c r="D87" s="40"/>
      <c r="E87" s="41"/>
    </row>
    <row r="88" spans="4:5">
      <c r="D88" s="40"/>
      <c r="E88" s="41"/>
    </row>
    <row r="89" spans="4:5">
      <c r="D89" s="40"/>
      <c r="E89" s="41"/>
    </row>
    <row r="90" spans="4:5">
      <c r="D90" s="40"/>
      <c r="E90" s="41"/>
    </row>
    <row r="91" spans="4:5">
      <c r="D91" s="40"/>
      <c r="E91" s="41"/>
    </row>
    <row r="92" spans="4:5">
      <c r="D92" s="40"/>
      <c r="E92" s="41"/>
    </row>
    <row r="93" spans="4:5">
      <c r="D93" s="40"/>
      <c r="E93" s="41"/>
    </row>
    <row r="94" spans="4:5">
      <c r="D94" s="40"/>
      <c r="E94" s="41"/>
    </row>
    <row r="95" spans="4:5">
      <c r="D95" s="40"/>
      <c r="E95" s="41"/>
    </row>
    <row r="96" spans="4:5">
      <c r="D96" s="40"/>
      <c r="E96" s="41"/>
    </row>
    <row r="97" spans="4:5">
      <c r="D97" s="40"/>
      <c r="E97" s="41"/>
    </row>
    <row r="98" spans="4:5">
      <c r="D98" s="40"/>
      <c r="E98" s="41"/>
    </row>
    <row r="99" spans="4:5">
      <c r="D99" s="40"/>
      <c r="E99" s="41"/>
    </row>
    <row r="100" spans="4:5">
      <c r="D100" s="40"/>
      <c r="E100" s="41"/>
    </row>
  </sheetData>
  <dataValidations count="1">
    <dataValidation type="list" allowBlank="1" showInputMessage="1" showErrorMessage="1" sqref="C3:C151" xr:uid="{B2442E32-F36D-48E0-A0BE-516AEC86E336}">
      <formula1>INDIRECT(SUBSTITUTE(B3," ","_"))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99A77AA-55BF-40B2-900B-30E92CDD6D33}">
          <x14:formula1>
            <xm:f>Statuses!$B$1:$H$1</xm:f>
          </x14:formula1>
          <xm:sqref>B101:B151</xm:sqref>
        </x14:dataValidation>
        <x14:dataValidation type="list" allowBlank="1" showInputMessage="1" showErrorMessage="1" xr:uid="{FAA653F4-02F5-4DAC-85CD-67D7F9BF6EE3}">
          <x14:formula1>
            <xm:f>Statuses!$B$1:$I$1</xm:f>
          </x14:formula1>
          <xm:sqref>B3:B100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FD7F4-2E10-49FE-914A-F4C94D10BE91}">
  <dimension ref="A1:N26"/>
  <sheetViews>
    <sheetView rightToLeft="1" zoomScale="110" zoomScaleNormal="110" workbookViewId="0"/>
  </sheetViews>
  <sheetFormatPr defaultColWidth="9" defaultRowHeight="18"/>
  <cols>
    <col min="1" max="1" width="16.7109375" style="33" customWidth="1"/>
    <col min="2" max="2" width="64.85546875" style="33" bestFit="1" customWidth="1"/>
    <col min="3" max="3" width="86.85546875" style="33" bestFit="1" customWidth="1"/>
    <col min="4" max="4" width="67.140625" style="33" bestFit="1" customWidth="1"/>
    <col min="5" max="5" width="81" style="33" bestFit="1" customWidth="1"/>
    <col min="6" max="6" width="60.7109375" style="33" customWidth="1"/>
    <col min="7" max="7" width="70.5703125" style="33" bestFit="1" customWidth="1"/>
    <col min="8" max="8" width="81.42578125" style="33" bestFit="1" customWidth="1"/>
    <col min="9" max="9" width="96.140625" style="33" bestFit="1" customWidth="1"/>
    <col min="10" max="10" width="9" style="33"/>
    <col min="11" max="11" width="26.42578125" style="33" customWidth="1"/>
    <col min="12" max="12" width="9" style="33"/>
    <col min="13" max="13" width="34.42578125" style="33" bestFit="1" customWidth="1"/>
    <col min="14" max="14" width="33" style="33" customWidth="1"/>
    <col min="15" max="16384" width="9" style="33"/>
  </cols>
  <sheetData>
    <row r="1" spans="1:14">
      <c r="A1" s="32" t="s">
        <v>34</v>
      </c>
      <c r="B1" s="32" t="s">
        <v>36</v>
      </c>
      <c r="C1" s="32" t="s">
        <v>37</v>
      </c>
      <c r="D1" s="32" t="s">
        <v>38</v>
      </c>
      <c r="E1" s="32" t="s">
        <v>39</v>
      </c>
      <c r="F1" s="32" t="s">
        <v>40</v>
      </c>
      <c r="G1" s="32" t="s">
        <v>41</v>
      </c>
      <c r="H1" s="32" t="s">
        <v>42</v>
      </c>
      <c r="I1" s="32" t="s">
        <v>148</v>
      </c>
      <c r="K1" s="32" t="s">
        <v>11</v>
      </c>
      <c r="M1" s="32" t="s">
        <v>158</v>
      </c>
      <c r="N1" s="32" t="s">
        <v>160</v>
      </c>
    </row>
    <row r="2" spans="1:14" ht="36">
      <c r="A2" s="32" t="s">
        <v>36</v>
      </c>
      <c r="B2" s="32" t="s">
        <v>172</v>
      </c>
      <c r="C2" s="32" t="s">
        <v>46</v>
      </c>
      <c r="D2" s="32" t="s">
        <v>75</v>
      </c>
      <c r="E2" s="32" t="s">
        <v>66</v>
      </c>
      <c r="F2" s="32" t="s">
        <v>76</v>
      </c>
      <c r="G2" s="32" t="s">
        <v>102</v>
      </c>
      <c r="H2" s="32" t="s">
        <v>127</v>
      </c>
      <c r="I2" s="34" t="s">
        <v>138</v>
      </c>
      <c r="K2" s="32" t="s">
        <v>155</v>
      </c>
      <c r="M2" s="32" t="s">
        <v>182</v>
      </c>
      <c r="N2" s="32" t="s">
        <v>190</v>
      </c>
    </row>
    <row r="3" spans="1:14">
      <c r="A3" s="32" t="s">
        <v>37</v>
      </c>
      <c r="B3" s="32" t="s">
        <v>53</v>
      </c>
      <c r="C3" s="32" t="s">
        <v>47</v>
      </c>
      <c r="D3" s="32" t="s">
        <v>55</v>
      </c>
      <c r="E3" s="32" t="s">
        <v>67</v>
      </c>
      <c r="F3" s="32" t="s">
        <v>77</v>
      </c>
      <c r="G3" s="32" t="s">
        <v>103</v>
      </c>
      <c r="H3" s="32" t="s">
        <v>125</v>
      </c>
      <c r="I3" s="34" t="s">
        <v>132</v>
      </c>
      <c r="K3" s="32" t="s">
        <v>154</v>
      </c>
      <c r="M3" s="32" t="s">
        <v>183</v>
      </c>
      <c r="N3" s="32" t="s">
        <v>191</v>
      </c>
    </row>
    <row r="4" spans="1:14">
      <c r="A4" s="32" t="s">
        <v>38</v>
      </c>
      <c r="B4" s="32" t="s">
        <v>43</v>
      </c>
      <c r="C4" s="32" t="s">
        <v>129</v>
      </c>
      <c r="D4" s="32" t="s">
        <v>64</v>
      </c>
      <c r="E4" s="32" t="s">
        <v>73</v>
      </c>
      <c r="F4" s="32" t="s">
        <v>78</v>
      </c>
      <c r="G4" s="32" t="s">
        <v>95</v>
      </c>
      <c r="H4" s="32" t="s">
        <v>106</v>
      </c>
      <c r="I4" s="34" t="s">
        <v>139</v>
      </c>
      <c r="K4" s="32" t="s">
        <v>156</v>
      </c>
      <c r="M4" s="32" t="s">
        <v>184</v>
      </c>
      <c r="N4" s="32" t="s">
        <v>192</v>
      </c>
    </row>
    <row r="5" spans="1:14">
      <c r="A5" s="32" t="s">
        <v>39</v>
      </c>
      <c r="B5" s="32" t="s">
        <v>44</v>
      </c>
      <c r="C5" s="32" t="s">
        <v>49</v>
      </c>
      <c r="D5" s="32" t="s">
        <v>56</v>
      </c>
      <c r="E5" s="32" t="s">
        <v>175</v>
      </c>
      <c r="F5" s="32" t="s">
        <v>79</v>
      </c>
      <c r="G5" s="32" t="s">
        <v>101</v>
      </c>
      <c r="H5" s="32" t="s">
        <v>180</v>
      </c>
      <c r="I5" s="34" t="s">
        <v>134</v>
      </c>
      <c r="M5" s="32" t="s">
        <v>185</v>
      </c>
      <c r="N5" s="32" t="s">
        <v>193</v>
      </c>
    </row>
    <row r="6" spans="1:14">
      <c r="A6" s="32" t="s">
        <v>40</v>
      </c>
      <c r="C6" s="32" t="s">
        <v>50</v>
      </c>
      <c r="D6" s="32" t="s">
        <v>57</v>
      </c>
      <c r="E6" s="32" t="s">
        <v>71</v>
      </c>
      <c r="F6" s="32" t="s">
        <v>89</v>
      </c>
      <c r="G6" s="32" t="s">
        <v>130</v>
      </c>
      <c r="H6" s="32" t="s">
        <v>131</v>
      </c>
      <c r="I6" s="34" t="s">
        <v>133</v>
      </c>
      <c r="M6" s="32" t="s">
        <v>186</v>
      </c>
      <c r="N6" s="32" t="s">
        <v>194</v>
      </c>
    </row>
    <row r="7" spans="1:14">
      <c r="A7" s="32" t="s">
        <v>41</v>
      </c>
      <c r="C7" s="32" t="s">
        <v>52</v>
      </c>
      <c r="D7" s="32" t="s">
        <v>65</v>
      </c>
      <c r="E7" s="32" t="s">
        <v>68</v>
      </c>
      <c r="F7" s="32" t="s">
        <v>90</v>
      </c>
      <c r="G7" s="32" t="s">
        <v>99</v>
      </c>
      <c r="H7" s="32" t="s">
        <v>104</v>
      </c>
      <c r="I7" s="34" t="s">
        <v>99</v>
      </c>
      <c r="M7" s="32" t="s">
        <v>187</v>
      </c>
      <c r="N7" s="32" t="s">
        <v>195</v>
      </c>
    </row>
    <row r="8" spans="1:14">
      <c r="A8" s="32" t="s">
        <v>42</v>
      </c>
      <c r="C8" s="32" t="s">
        <v>60</v>
      </c>
      <c r="D8" s="32" t="s">
        <v>58</v>
      </c>
      <c r="E8" s="32" t="s">
        <v>69</v>
      </c>
      <c r="F8" s="32" t="s">
        <v>91</v>
      </c>
      <c r="G8" s="32" t="s">
        <v>98</v>
      </c>
      <c r="H8" s="32" t="s">
        <v>99</v>
      </c>
      <c r="I8" s="34" t="s">
        <v>135</v>
      </c>
      <c r="M8" s="32" t="s">
        <v>188</v>
      </c>
      <c r="N8" s="32" t="s">
        <v>196</v>
      </c>
    </row>
    <row r="9" spans="1:14">
      <c r="A9" s="32" t="s">
        <v>147</v>
      </c>
      <c r="C9" s="35" t="s">
        <v>48</v>
      </c>
      <c r="D9" s="32" t="s">
        <v>61</v>
      </c>
      <c r="E9" s="32" t="s">
        <v>70</v>
      </c>
      <c r="F9" s="32" t="s">
        <v>80</v>
      </c>
      <c r="G9" s="32" t="s">
        <v>96</v>
      </c>
      <c r="H9" s="32" t="s">
        <v>128</v>
      </c>
      <c r="I9" s="34" t="s">
        <v>140</v>
      </c>
      <c r="M9" s="32" t="s">
        <v>189</v>
      </c>
      <c r="N9" s="32" t="s">
        <v>197</v>
      </c>
    </row>
    <row r="10" spans="1:14">
      <c r="C10" s="32" t="s">
        <v>51</v>
      </c>
      <c r="D10" s="32" t="s">
        <v>62</v>
      </c>
      <c r="E10" s="32" t="s">
        <v>72</v>
      </c>
      <c r="F10" s="32" t="s">
        <v>81</v>
      </c>
      <c r="G10" s="32" t="s">
        <v>94</v>
      </c>
      <c r="H10" s="32" t="s">
        <v>107</v>
      </c>
      <c r="I10" s="34" t="s">
        <v>136</v>
      </c>
      <c r="M10" s="32"/>
      <c r="N10" s="32" t="s">
        <v>198</v>
      </c>
    </row>
    <row r="11" spans="1:14">
      <c r="C11" s="32" t="s">
        <v>54</v>
      </c>
      <c r="D11" s="32" t="s">
        <v>59</v>
      </c>
      <c r="E11" s="32" t="s">
        <v>74</v>
      </c>
      <c r="F11" s="32" t="s">
        <v>82</v>
      </c>
      <c r="G11" s="32" t="s">
        <v>92</v>
      </c>
      <c r="H11" s="32" t="s">
        <v>108</v>
      </c>
      <c r="I11" s="34" t="s">
        <v>141</v>
      </c>
      <c r="M11" s="32"/>
      <c r="N11" s="32" t="s">
        <v>199</v>
      </c>
    </row>
    <row r="12" spans="1:14">
      <c r="D12" s="32" t="s">
        <v>51</v>
      </c>
      <c r="E12" s="32" t="s">
        <v>176</v>
      </c>
      <c r="F12" s="32" t="s">
        <v>83</v>
      </c>
      <c r="G12" s="32" t="s">
        <v>93</v>
      </c>
      <c r="H12" s="32" t="s">
        <v>110</v>
      </c>
      <c r="I12" s="34" t="s">
        <v>142</v>
      </c>
      <c r="M12" s="32"/>
      <c r="N12" s="32" t="s">
        <v>200</v>
      </c>
    </row>
    <row r="13" spans="1:14">
      <c r="D13" s="32" t="s">
        <v>63</v>
      </c>
      <c r="F13" s="32" t="s">
        <v>84</v>
      </c>
      <c r="G13" s="32" t="s">
        <v>97</v>
      </c>
      <c r="H13" s="32" t="s">
        <v>109</v>
      </c>
      <c r="I13" s="34" t="s">
        <v>137</v>
      </c>
      <c r="M13" s="32"/>
      <c r="N13" s="32" t="s">
        <v>201</v>
      </c>
    </row>
    <row r="14" spans="1:14">
      <c r="F14" s="32" t="s">
        <v>85</v>
      </c>
      <c r="G14" s="32" t="s">
        <v>100</v>
      </c>
      <c r="H14" s="32" t="s">
        <v>111</v>
      </c>
      <c r="I14" s="34" t="s">
        <v>143</v>
      </c>
      <c r="M14" s="32"/>
      <c r="N14" s="32" t="s">
        <v>202</v>
      </c>
    </row>
    <row r="15" spans="1:14">
      <c r="F15" s="32" t="s">
        <v>86</v>
      </c>
      <c r="G15" s="32" t="s">
        <v>122</v>
      </c>
      <c r="H15" s="32" t="s">
        <v>112</v>
      </c>
      <c r="I15" s="34" t="s">
        <v>144</v>
      </c>
    </row>
    <row r="16" spans="1:14">
      <c r="F16" s="32" t="s">
        <v>87</v>
      </c>
      <c r="G16" s="32" t="s">
        <v>123</v>
      </c>
      <c r="H16" s="32" t="s">
        <v>113</v>
      </c>
    </row>
    <row r="17" spans="6:8">
      <c r="F17" s="32" t="s">
        <v>88</v>
      </c>
      <c r="G17" s="32" t="s">
        <v>178</v>
      </c>
      <c r="H17" s="32" t="s">
        <v>114</v>
      </c>
    </row>
    <row r="18" spans="6:8">
      <c r="G18" s="32" t="s">
        <v>177</v>
      </c>
      <c r="H18" s="32" t="s">
        <v>115</v>
      </c>
    </row>
    <row r="19" spans="6:8">
      <c r="G19" s="32" t="s">
        <v>179</v>
      </c>
      <c r="H19" s="32" t="s">
        <v>116</v>
      </c>
    </row>
    <row r="20" spans="6:8">
      <c r="H20" s="32" t="s">
        <v>117</v>
      </c>
    </row>
    <row r="21" spans="6:8">
      <c r="H21" s="32" t="s">
        <v>118</v>
      </c>
    </row>
    <row r="22" spans="6:8">
      <c r="H22" s="32" t="s">
        <v>120</v>
      </c>
    </row>
    <row r="23" spans="6:8">
      <c r="H23" s="32" t="s">
        <v>121</v>
      </c>
    </row>
    <row r="24" spans="6:8">
      <c r="H24" s="32" t="s">
        <v>119</v>
      </c>
    </row>
    <row r="25" spans="6:8">
      <c r="H25" s="32" t="s">
        <v>126</v>
      </c>
    </row>
    <row r="26" spans="6:8">
      <c r="H26" s="32" t="s">
        <v>124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9</vt:i4>
      </vt:variant>
    </vt:vector>
  </HeadingPairs>
  <TitlesOfParts>
    <vt:vector size="13" baseType="lpstr">
      <vt:lpstr>شناسنامه پروژه</vt:lpstr>
      <vt:lpstr>گانت چارت</vt:lpstr>
      <vt:lpstr>گام نمای فعالیت های صندوق</vt:lpstr>
      <vt:lpstr>Statuses</vt:lpstr>
      <vt:lpstr>ارزیابی_اولیه</vt:lpstr>
      <vt:lpstr>ارزیابی_موشکافانه</vt:lpstr>
      <vt:lpstr>تصویب_طرح</vt:lpstr>
      <vt:lpstr>تنظیم_قرارداد</vt:lpstr>
      <vt:lpstr>خروج_از_صندوق</vt:lpstr>
      <vt:lpstr>دریافت_پروپوزال</vt:lpstr>
      <vt:lpstr>گام_اصلی</vt:lpstr>
      <vt:lpstr>مسیر_سبز</vt:lpstr>
      <vt:lpstr>نظارت_و_راهبری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Mohtadi</dc:creator>
  <cp:lastModifiedBy>Valizadeh ; MohamadReza</cp:lastModifiedBy>
  <dcterms:created xsi:type="dcterms:W3CDTF">2015-06-05T18:17:20Z</dcterms:created>
  <dcterms:modified xsi:type="dcterms:W3CDTF">2026-01-07T09:00:29Z</dcterms:modified>
</cp:coreProperties>
</file>